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6" activeTab="26"/>
  </bookViews>
  <sheets>
    <sheet name="алые 25" sheetId="1" state="hidden" r:id="rId2"/>
    <sheet name="14.02" sheetId="2" state="hidden" r:id="rId3"/>
    <sheet name="23.02" sheetId="3" state="hidden" r:id="rId4"/>
    <sheet name="8.03" sheetId="4" state="hidden" r:id="rId5"/>
    <sheet name="12.04" sheetId="5" state="hidden" r:id="rId6"/>
    <sheet name="большие к-ли" sheetId="6" state="hidden" r:id="rId7"/>
    <sheet name="майские" sheetId="7" state="hidden" r:id="rId8"/>
    <sheet name="мексика" sheetId="8" state="hidden" r:id="rId9"/>
    <sheet name="нулевые" sheetId="9" state="hidden" r:id="rId10"/>
    <sheet name="ангар спешл" sheetId="10" state="hidden" r:id="rId11"/>
    <sheet name="кунсткамера" sheetId="11" state="hidden" r:id="rId12"/>
    <sheet name="звонок" sheetId="12" state="hidden" r:id="rId13"/>
    <sheet name="ба" sheetId="13" state="hidden" r:id="rId14"/>
    <sheet name="футбольное что-то" sheetId="14" state="hidden" r:id="rId15"/>
    <sheet name="офисные" sheetId="15" state="hidden" r:id="rId16"/>
    <sheet name="ганста" sheetId="16" state="hidden" r:id="rId17"/>
    <sheet name="жара 25" sheetId="17" state="hidden" r:id="rId18"/>
    <sheet name="пират" sheetId="18" state="hidden" r:id="rId19"/>
    <sheet name="90е" sheetId="19" state="hidden" r:id="rId20"/>
    <sheet name="др кх" sheetId="20" state="hidden" r:id="rId21"/>
    <sheet name="жара 9.25" sheetId="21" state="hidden" r:id="rId22"/>
    <sheet name="хипрок" sheetId="22" state="hidden" r:id="rId23"/>
    <sheet name="бэк скул" sheetId="23" state="hidden" r:id="rId24"/>
    <sheet name="студенты опять" sheetId="24" state="hidden" r:id="rId25"/>
    <sheet name="25 ЦУНАМИ" sheetId="25" state="hidden" r:id="rId26"/>
    <sheet name="хэллоуин" sheetId="26" state="hidden" r:id="rId27"/>
    <sheet name="цирк 11.25" sheetId="27" state="visible" r:id="rId28"/>
    <sheet name="7.01.25" sheetId="28" state="hidden" r:id="rId29"/>
    <sheet name="кальмар" sheetId="29" state="hidden" r:id="rId30"/>
    <sheet name="кухня 22.10" sheetId="30" state="hidden" r:id="rId31"/>
    <sheet name="вся кухня 05.11" sheetId="31" state="hidden" r:id="rId32"/>
    <sheet name="еда" sheetId="32" state="hidden" r:id="rId33"/>
    <sheet name="вс " sheetId="33" state="hidden" r:id="rId3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<sst xmlns="http://schemas.openxmlformats.org/spreadsheetml/2006/main" count="1403" uniqueCount="833">
  <si>
    <t xml:space="preserve">Наименование</t>
  </si>
  <si>
    <t xml:space="preserve">Состав</t>
  </si>
  <si>
    <t xml:space="preserve">объем</t>
  </si>
  <si>
    <t xml:space="preserve">ст. литра</t>
  </si>
  <si>
    <t xml:space="preserve">сс</t>
  </si>
  <si>
    <t xml:space="preserve">сс позиции</t>
  </si>
  <si>
    <t xml:space="preserve">Цена</t>
  </si>
  <si>
    <t xml:space="preserve">НАЦЕНКА</t>
  </si>
  <si>
    <t xml:space="preserve">Patience</t>
  </si>
  <si>
    <t xml:space="preserve">Джин - 40</t>
  </si>
  <si>
    <t xml:space="preserve">Персиковый ликер 20</t>
  </si>
  <si>
    <t xml:space="preserve">Сок яблоко 60</t>
  </si>
  <si>
    <t xml:space="preserve">Сироп юзу 10</t>
  </si>
  <si>
    <t xml:space="preserve">Сироп ваниль 20</t>
  </si>
  <si>
    <t xml:space="preserve">белок</t>
  </si>
  <si>
    <t xml:space="preserve">Лимонный  30</t>
  </si>
  <si>
    <t xml:space="preserve">Scarlet Sails </t>
  </si>
  <si>
    <t xml:space="preserve">Водка 40</t>
  </si>
  <si>
    <t xml:space="preserve">Малина ликер 20</t>
  </si>
  <si>
    <t xml:space="preserve">Малина пюре 20</t>
  </si>
  <si>
    <t xml:space="preserve">Лимон 20</t>
  </si>
  <si>
    <t xml:space="preserve">Ананас сок 80</t>
  </si>
  <si>
    <t xml:space="preserve">Future </t>
  </si>
  <si>
    <t xml:space="preserve">Ром 60</t>
  </si>
  <si>
    <t xml:space="preserve">Кокос ликер 40</t>
  </si>
  <si>
    <t xml:space="preserve">Лимон 30</t>
  </si>
  <si>
    <t xml:space="preserve">Ваниль 30</t>
  </si>
  <si>
    <t xml:space="preserve">Summer snow</t>
  </si>
  <si>
    <t xml:space="preserve">Водка 60</t>
  </si>
  <si>
    <t xml:space="preserve">Кофейный 60</t>
  </si>
  <si>
    <t xml:space="preserve">Сливки 40</t>
  </si>
  <si>
    <t xml:space="preserve">Love is, 300ml</t>
  </si>
  <si>
    <t xml:space="preserve">Rum Diablo Negro Caribbean 0,04</t>
  </si>
  <si>
    <t xml:space="preserve">Niva Distillery Liquor coconut 0,02</t>
  </si>
  <si>
    <t xml:space="preserve">Cordial Clavis tonka beans 0,02</t>
  </si>
  <si>
    <t xml:space="preserve">Cream 0,02</t>
  </si>
  <si>
    <t xml:space="preserve">Syrup bubble gum 0,025</t>
  </si>
  <si>
    <t xml:space="preserve">Candy</t>
  </si>
  <si>
    <t xml:space="preserve">Kiss me, 300ml</t>
  </si>
  <si>
    <t xml:space="preserve">Niva Distillery Liquor raspberry 0,02</t>
  </si>
  <si>
    <t xml:space="preserve">Syrup cherry 0,01</t>
  </si>
  <si>
    <t xml:space="preserve">Syrup almond 0,015</t>
  </si>
  <si>
    <t xml:space="preserve">Cream 0,03</t>
  </si>
  <si>
    <t xml:space="preserve">Pineapple juice 0,05</t>
  </si>
  <si>
    <t xml:space="preserve">Apple juice 0,05</t>
  </si>
  <si>
    <t xml:space="preserve">Romeo and Juliet, 300ml</t>
  </si>
  <si>
    <t xml:space="preserve">Gin Royal Raven Dry 0,02</t>
  </si>
  <si>
    <t xml:space="preserve">Niva Distillery Liquor elderflower 0,02</t>
  </si>
  <si>
    <t xml:space="preserve">Cordial Clavis banana 0,02</t>
  </si>
  <si>
    <t xml:space="preserve">Lemon fresh 0,01</t>
  </si>
  <si>
    <t xml:space="preserve">Syrup cinnamon 0,02</t>
  </si>
  <si>
    <t xml:space="preserve">Set shots 4х40ml</t>
  </si>
  <si>
    <t xml:space="preserve">Первое свидание</t>
  </si>
  <si>
    <t xml:space="preserve">Lemon fresh 0,04</t>
  </si>
  <si>
    <t xml:space="preserve">Niva Distillery Liquor raspberry 0,04</t>
  </si>
  <si>
    <t xml:space="preserve">Syrup popcorn 0,04</t>
  </si>
  <si>
    <t xml:space="preserve">Сын маминой подруги, 300ml</t>
  </si>
  <si>
    <t xml:space="preserve">Niva Distillery Sambuca 0,02</t>
  </si>
  <si>
    <t xml:space="preserve">Absinthe Oasis 0,02</t>
  </si>
  <si>
    <t xml:space="preserve">Syrup coconut 0,02</t>
  </si>
  <si>
    <t xml:space="preserve">Lemon fresh 0,015</t>
  </si>
  <si>
    <t xml:space="preserve">Red Bull tropical 0,5шт</t>
  </si>
  <si>
    <t xml:space="preserve">Orange 0,015</t>
  </si>
  <si>
    <t xml:space="preserve">Джентельмен, 300ml </t>
  </si>
  <si>
    <t xml:space="preserve">Whiskey Your Choice 0,04</t>
  </si>
  <si>
    <t xml:space="preserve">Syrup cinnamon 0,015</t>
  </si>
  <si>
    <t xml:space="preserve">Lemon fresh 0,02</t>
  </si>
  <si>
    <t xml:space="preserve">Apple juice 0,1</t>
  </si>
  <si>
    <t xml:space="preserve">Lemon 0,015</t>
  </si>
  <si>
    <t xml:space="preserve">Малиновый пиджак, 300ml 
</t>
  </si>
  <si>
    <t xml:space="preserve">Vodka Хаски 0,04</t>
  </si>
  <si>
    <t xml:space="preserve">Syrup bubble gum 0,01</t>
  </si>
  <si>
    <t xml:space="preserve">Sprite 0,1</t>
  </si>
  <si>
    <t xml:space="preserve">Крепкий орешек, 300ml 
</t>
  </si>
  <si>
    <t xml:space="preserve">Tequila el charro 0,02</t>
  </si>
  <si>
    <t xml:space="preserve">Niva Distillery Liquor lychee 0,02</t>
  </si>
  <si>
    <t xml:space="preserve">Syrup yuzu 0,01</t>
  </si>
  <si>
    <t xml:space="preserve">Grapefruit juice 0,06</t>
  </si>
  <si>
    <t xml:space="preserve">Like 0,01</t>
  </si>
  <si>
    <t xml:space="preserve">По-братски</t>
  </si>
  <si>
    <t xml:space="preserve">Niva Distillery Liquor cream 0,04</t>
  </si>
  <si>
    <t xml:space="preserve">Syrup blackberry 0,04</t>
  </si>
  <si>
    <t xml:space="preserve">Cream 0,04</t>
  </si>
  <si>
    <t xml:space="preserve">Звонок бывшему, 150ml
</t>
  </si>
  <si>
    <t xml:space="preserve">Niva Distillery Sambuca 0,03</t>
  </si>
  <si>
    <t xml:space="preserve">Niva Distillery Liquor coffee 0,04</t>
  </si>
  <si>
    <t xml:space="preserve">Тропикана женщина, 300ml 
</t>
  </si>
  <si>
    <t xml:space="preserve">Niva Distillery Aperitivo 0,04</t>
  </si>
  <si>
    <t xml:space="preserve">Seven up 0,05</t>
  </si>
  <si>
    <t xml:space="preserve">Flowers</t>
  </si>
  <si>
    <t xml:space="preserve">Женщина в красном, 150ml 
</t>
  </si>
  <si>
    <t xml:space="preserve">Niva Distillery Liquor triple sec 0,02</t>
  </si>
  <si>
    <t xml:space="preserve">Syrup cherry 0,02</t>
  </si>
  <si>
    <t xml:space="preserve">Завтрак у Тиффани 
</t>
  </si>
  <si>
    <t xml:space="preserve">Niva Distillery Liquor melon 0,03</t>
  </si>
  <si>
    <t xml:space="preserve">Niva Distillery Liquor blue curaçao 0,03</t>
  </si>
  <si>
    <t xml:space="preserve">Harlequin, 300ml</t>
  </si>
  <si>
    <t xml:space="preserve">Gin Royal Raven Dry 0,04</t>
  </si>
  <si>
    <t xml:space="preserve">Grapefruit juice 0,1</t>
  </si>
  <si>
    <t xml:space="preserve">Hocus Pocus, 300ml</t>
  </si>
  <si>
    <t xml:space="preserve">Niva Distillery Liquor melon 0,02</t>
  </si>
  <si>
    <t xml:space="preserve">Syrup honey 0,02</t>
  </si>
  <si>
    <t xml:space="preserve">Rabbit in a hat, 300ml</t>
  </si>
  <si>
    <t xml:space="preserve">Syrup raspberry 0,02</t>
  </si>
  <si>
    <t xml:space="preserve">Pineapple juice 0,1</t>
  </si>
  <si>
    <t xml:space="preserve">Freak show</t>
  </si>
  <si>
    <t xml:space="preserve">Биг Пасадена </t>
  </si>
  <si>
    <t xml:space="preserve">Джин хаус 150</t>
  </si>
  <si>
    <t xml:space="preserve">Ликер дыня 100</t>
  </si>
  <si>
    <t xml:space="preserve">Фреш 100</t>
  </si>
  <si>
    <t xml:space="preserve">Сок ананас 300</t>
  </si>
  <si>
    <t xml:space="preserve">Сироп банан 100</t>
  </si>
  <si>
    <t xml:space="preserve">Биг текила санрайз</t>
  </si>
  <si>
    <t xml:space="preserve">Текила хаус 200</t>
  </si>
  <si>
    <t xml:space="preserve">Гренадин сироп 100</t>
  </si>
  <si>
    <t xml:space="preserve">Сок апельсин 400</t>
  </si>
  <si>
    <t xml:space="preserve">Биг Лонг Айленд </t>
  </si>
  <si>
    <t xml:space="preserve">Хаски 80</t>
  </si>
  <si>
    <t xml:space="preserve">Текила 80</t>
  </si>
  <si>
    <t xml:space="preserve">Джин 80</t>
  </si>
  <si>
    <t xml:space="preserve">Ром 80</t>
  </si>
  <si>
    <t xml:space="preserve">Трипл сек ликер 80</t>
  </si>
  <si>
    <t xml:space="preserve">Лимон 80</t>
  </si>
  <si>
    <t xml:space="preserve">Кола 300</t>
  </si>
  <si>
    <t xml:space="preserve">Биг Блю Лайн </t>
  </si>
  <si>
    <t xml:space="preserve">Джин 150</t>
  </si>
  <si>
    <t xml:space="preserve">Ликер блю Кюрасао 100</t>
  </si>
  <si>
    <t xml:space="preserve">Сироп кокос 100</t>
  </si>
  <si>
    <t xml:space="preserve">Биг Голубая Лагуна </t>
  </si>
  <si>
    <t xml:space="preserve">Хаски 200</t>
  </si>
  <si>
    <t xml:space="preserve">Севен ап 350</t>
  </si>
  <si>
    <t xml:space="preserve">Биг Берри Маргарита</t>
  </si>
  <si>
    <t xml:space="preserve">Текила Хаус 250</t>
  </si>
  <si>
    <t xml:space="preserve">Ликер малина 125</t>
  </si>
  <si>
    <t xml:space="preserve">Фреш 200</t>
  </si>
  <si>
    <t xml:space="preserve">Сироп гренадин 125</t>
  </si>
  <si>
    <t xml:space="preserve">Пиво корона 1б</t>
  </si>
  <si>
    <t xml:space="preserve">Darkness 300ml</t>
  </si>
  <si>
    <t xml:space="preserve">Ром 40</t>
  </si>
  <si>
    <t xml:space="preserve">Самбука 20</t>
  </si>
  <si>
    <t xml:space="preserve">Блю курасао 20</t>
  </si>
  <si>
    <t xml:space="preserve">Сироп гренадин 15</t>
  </si>
  <si>
    <t xml:space="preserve">Лимон фреш 15</t>
  </si>
  <si>
    <t xml:space="preserve">Сок грейпфрут 60</t>
  </si>
  <si>
    <t xml:space="preserve">GTFO</t>
  </si>
  <si>
    <t xml:space="preserve">Водка20</t>
  </si>
  <si>
    <t xml:space="preserve">джин 20</t>
  </si>
  <si>
    <t xml:space="preserve">ром 20</t>
  </si>
  <si>
    <t xml:space="preserve">текила20</t>
  </si>
  <si>
    <t xml:space="preserve">блю кюрасао20</t>
  </si>
  <si>
    <t xml:space="preserve">Сироп кокос 5</t>
  </si>
  <si>
    <t xml:space="preserve">Лимон фреш 10</t>
  </si>
  <si>
    <t xml:space="preserve">Спрайт 50</t>
  </si>
  <si>
    <t xml:space="preserve">LipStick</t>
  </si>
  <si>
    <t xml:space="preserve">Водка - 40</t>
  </si>
  <si>
    <t xml:space="preserve">Фреш - 20</t>
  </si>
  <si>
    <t xml:space="preserve">Сироп миндаль - 20</t>
  </si>
  <si>
    <t xml:space="preserve">Сироп вишня - 20</t>
  </si>
  <si>
    <t xml:space="preserve">Спрайт - 80</t>
  </si>
  <si>
    <t xml:space="preserve">HYPNOTize</t>
  </si>
  <si>
    <t xml:space="preserve">Ликер Нива личи 20</t>
  </si>
  <si>
    <t xml:space="preserve">Лимонный 20</t>
  </si>
  <si>
    <t xml:space="preserve">Пюре марайя 20</t>
  </si>
  <si>
    <t xml:space="preserve">Сок грейпфрут 40</t>
  </si>
  <si>
    <t xml:space="preserve">Сок ананас 20</t>
  </si>
  <si>
    <t xml:space="preserve">Guilty vanilla </t>
  </si>
  <si>
    <t xml:space="preserve">Джин хаус 40</t>
  </si>
  <si>
    <t xml:space="preserve">лимонный сок 30</t>
  </si>
  <si>
    <t xml:space="preserve">Ваниль сироп 20</t>
  </si>
  <si>
    <t xml:space="preserve">Кордиал бобы тонка 30</t>
  </si>
  <si>
    <t xml:space="preserve">Яблоко сок 60</t>
  </si>
  <si>
    <t xml:space="preserve">Tropics </t>
  </si>
  <si>
    <t xml:space="preserve">40 ром хаус</t>
  </si>
  <si>
    <t xml:space="preserve">20 трип сек</t>
  </si>
  <si>
    <t xml:space="preserve">20 сироп кокос</t>
  </si>
  <si>
    <t xml:space="preserve">60 сок ананас</t>
  </si>
  <si>
    <t xml:space="preserve">10 лимонка</t>
  </si>
  <si>
    <t xml:space="preserve">fruity smash </t>
  </si>
  <si>
    <t xml:space="preserve">Банан пандан лью40</t>
  </si>
  <si>
    <t xml:space="preserve">Персиковый  ликер 20</t>
  </si>
  <si>
    <t xml:space="preserve">Фреш 20</t>
  </si>
  <si>
    <t xml:space="preserve">Тоник 100</t>
  </si>
  <si>
    <t xml:space="preserve">Что то с чем то </t>
  </si>
  <si>
    <t xml:space="preserve">Gin 0,03</t>
  </si>
  <si>
    <t xml:space="preserve">Cordial cherry/shiso 0,025</t>
  </si>
  <si>
    <t xml:space="preserve">Aperol 0,02</t>
  </si>
  <si>
    <t xml:space="preserve">Soju plum 0,03</t>
  </si>
  <si>
    <t xml:space="preserve">Унесенный ветром </t>
  </si>
  <si>
    <t xml:space="preserve">Трипл сек 25</t>
  </si>
  <si>
    <t xml:space="preserve">Кофейный 25</t>
  </si>
  <si>
    <t xml:space="preserve">Блю Кюр 25</t>
  </si>
  <si>
    <t xml:space="preserve">Сливки 25</t>
  </si>
  <si>
    <t xml:space="preserve">Молотая корица</t>
  </si>
  <si>
    <t xml:space="preserve">Шлепок</t>
  </si>
  <si>
    <t xml:space="preserve">Водка 30</t>
  </si>
  <si>
    <t xml:space="preserve">Игристое 100</t>
  </si>
  <si>
    <t xml:space="preserve">Абсент 30</t>
  </si>
  <si>
    <t xml:space="preserve">Viva la Mexico, 300ml 
</t>
  </si>
  <si>
    <t xml:space="preserve">Tequila El Charro 0,04</t>
  </si>
  <si>
    <t xml:space="preserve">Martini bianco 0,02</t>
  </si>
  <si>
    <t xml:space="preserve">Syrup grenadine 0,02</t>
  </si>
  <si>
    <t xml:space="preserve">Grapefruit juice 0,05</t>
  </si>
  <si>
    <t xml:space="preserve">Egg white 0,03</t>
  </si>
  <si>
    <t xml:space="preserve">Fiesta, 350ml 
</t>
  </si>
  <si>
    <t xml:space="preserve">Tequila El Charro 0,03</t>
  </si>
  <si>
    <t xml:space="preserve">Niva Distillery Aperitivo 0,03</t>
  </si>
  <si>
    <t xml:space="preserve">Clavis cordial yuzu 0,03</t>
  </si>
  <si>
    <t xml:space="preserve">Niva Distillery liquor peach 0,02</t>
  </si>
  <si>
    <t xml:space="preserve">Tonic 0,05</t>
  </si>
  <si>
    <t xml:space="preserve">Sparkling water 0,05</t>
  </si>
  <si>
    <t xml:space="preserve">Michelada, 350ml 
</t>
  </si>
  <si>
    <t xml:space="preserve">Tomato juice 0,1</t>
  </si>
  <si>
    <t xml:space="preserve">Worcestershire sauce 0,005</t>
  </si>
  <si>
    <t xml:space="preserve">Tabasco 0,003</t>
  </si>
  <si>
    <t xml:space="preserve">Salt</t>
  </si>
  <si>
    <t xml:space="preserve">Pepper</t>
  </si>
  <si>
    <t xml:space="preserve">Corona beer 1б</t>
  </si>
  <si>
    <t xml:space="preserve">Tomato</t>
  </si>
  <si>
    <t xml:space="preserve">Lime 0,01</t>
  </si>
  <si>
    <t xml:space="preserve"> Silver Bullet
</t>
  </si>
  <si>
    <t xml:space="preserve">Tequila El Charro 0,06</t>
  </si>
  <si>
    <t xml:space="preserve">Niva Distillery Liquor coffee 0,06</t>
  </si>
  <si>
    <t xml:space="preserve">Moscow never sleep, 300ml 
</t>
  </si>
  <si>
    <t xml:space="preserve">Tundra 0,04</t>
  </si>
  <si>
    <t xml:space="preserve">Niva Distillery Liquor Elderflower 0,02</t>
  </si>
  <si>
    <t xml:space="preserve">Cola 0,15</t>
  </si>
  <si>
    <t xml:space="preserve">Lime 0.015</t>
  </si>
  <si>
    <t xml:space="preserve">Pop star, 250ml 
</t>
  </si>
  <si>
    <t xml:space="preserve">Cherry</t>
  </si>
  <si>
    <t xml:space="preserve">Мой мармеладный,350ml  
</t>
  </si>
  <si>
    <t xml:space="preserve">Absinthe Oasis 0,015</t>
  </si>
  <si>
    <t xml:space="preserve">Niva Distillery Liqour Blue curaçao 0,015</t>
  </si>
  <si>
    <t xml:space="preserve">Syrup coconut 0,015</t>
  </si>
  <si>
    <t xml:space="preserve">Pineapple juice 0,06</t>
  </si>
  <si>
    <t xml:space="preserve">Папарацци 
</t>
  </si>
  <si>
    <t xml:space="preserve">Niva Distillery Liquor melon 0,04</t>
  </si>
  <si>
    <t xml:space="preserve">Syrup banana 0,02</t>
  </si>
  <si>
    <t xml:space="preserve">Salem, 300ml 
</t>
  </si>
  <si>
    <t xml:space="preserve">Syrup yuzu 0,02</t>
  </si>
  <si>
    <t xml:space="preserve">303, 300ml
</t>
  </si>
  <si>
    <t xml:space="preserve">Passion fruit puree 0,02</t>
  </si>
  <si>
    <t xml:space="preserve">Pandemic, 300ml
</t>
  </si>
  <si>
    <t xml:space="preserve">Sibbitter spice&amp;herb 0,04</t>
  </si>
  <si>
    <t xml:space="preserve">Martini Rosso 0,02</t>
  </si>
  <si>
    <t xml:space="preserve">Syrup blackberry 0,02</t>
  </si>
  <si>
    <t xml:space="preserve">Crystal castles, 350ml
</t>
  </si>
  <si>
    <t xml:space="preserve">Vodka Хаски 0,02</t>
  </si>
  <si>
    <t xml:space="preserve">Rum Diablo Negro Caribbean 0,02</t>
  </si>
  <si>
    <t xml:space="preserve">Tequila La mision 0,02</t>
  </si>
  <si>
    <t xml:space="preserve">Seven up 0,1</t>
  </si>
  <si>
    <t xml:space="preserve">Dreamcore,300ml
</t>
  </si>
  <si>
    <t xml:space="preserve">Niva Distillery Liquor triple sec 0,04</t>
  </si>
  <si>
    <t xml:space="preserve">Orange juice 0,05</t>
  </si>
  <si>
    <t xml:space="preserve">Liminal, 200ml
</t>
  </si>
  <si>
    <t xml:space="preserve">Niva Distillery Liquor peach 0,04</t>
  </si>
  <si>
    <t xml:space="preserve">Pineapple juice 0,04</t>
  </si>
  <si>
    <t xml:space="preserve">Sparkling wine 0,1</t>
  </si>
  <si>
    <t xml:space="preserve">Born Irish highball 300ml
</t>
  </si>
  <si>
    <t xml:space="preserve">Whiskey Born Irish 0,04</t>
  </si>
  <si>
    <t xml:space="preserve">Niva Distillery Liquor peach 0,02</t>
  </si>
  <si>
    <t xml:space="preserve">Apple juice 0,08</t>
  </si>
  <si>
    <t xml:space="preserve">Lemon 0,01</t>
  </si>
  <si>
    <t xml:space="preserve">Малиновая анестезия, 300ml
</t>
  </si>
  <si>
    <t xml:space="preserve">Syrup raspberry 0,03</t>
  </si>
  <si>
    <t xml:space="preserve">Tonic 0,15</t>
  </si>
  <si>
    <t xml:space="preserve">Аномалия вкуса , 300ml 
</t>
  </si>
  <si>
    <t xml:space="preserve">Grapefruit juice 0,08</t>
  </si>
  <si>
    <t xml:space="preserve">Lemon fresh 0,03</t>
  </si>
  <si>
    <t xml:space="preserve">Syrup cherry 0,03</t>
  </si>
  <si>
    <t xml:space="preserve">Гематома 
</t>
  </si>
  <si>
    <t xml:space="preserve">Niva Distillery Sambuca 0,06</t>
  </si>
  <si>
    <t xml:space="preserve">Absinthe Oasis 0,04</t>
  </si>
  <si>
    <t xml:space="preserve">Niva Distillery Liquor cream 0,012</t>
  </si>
  <si>
    <t xml:space="preserve">Niva Distillery Blue curaçao liquor 0,008</t>
  </si>
  <si>
    <t xml:space="preserve">Взрыв мозга</t>
  </si>
  <si>
    <t xml:space="preserve">Vodka Хаски 0,06</t>
  </si>
  <si>
    <t xml:space="preserve">Niva Distillery Liquor peach 0,06</t>
  </si>
  <si>
    <t xml:space="preserve">Niva Distillery Liquor cream 0,032</t>
  </si>
  <si>
    <t xml:space="preserve">Syrup grenadine 0,008</t>
  </si>
  <si>
    <t xml:space="preserve">Последняя парта, 300мл
</t>
  </si>
  <si>
    <t xml:space="preserve">Niva Distillery Liquor cassis 0,03</t>
  </si>
  <si>
    <t xml:space="preserve">Syrup blackberry 0,015</t>
  </si>
  <si>
    <t xml:space="preserve">Sparkling wine 0,15</t>
  </si>
  <si>
    <t xml:space="preserve">Любимчик завуча, 300мл 
</t>
  </si>
  <si>
    <t xml:space="preserve">Niva Distillery Bitter 0,02</t>
  </si>
  <si>
    <t xml:space="preserve">Orange juice 0,1</t>
  </si>
  <si>
    <t xml:space="preserve">Syrup cherry 0,015</t>
  </si>
  <si>
    <t xml:space="preserve">Танец с физруком, 300мл 
</t>
  </si>
  <si>
    <t xml:space="preserve">Syrup grenadine 0,01</t>
  </si>
  <si>
    <t xml:space="preserve">Apple juice 0,06</t>
  </si>
  <si>
    <t xml:space="preserve">Orange</t>
  </si>
  <si>
    <t xml:space="preserve">А голову ты дома не забыл?! 
</t>
  </si>
  <si>
    <t xml:space="preserve">Sibbitter spice herb 0,04</t>
  </si>
  <si>
    <t xml:space="preserve">Niva Distillery Liquor elderflower 0,04</t>
  </si>
  <si>
    <t xml:space="preserve">Syrup yuzu 0,04</t>
  </si>
  <si>
    <t xml:space="preserve">Cherry-Almond, 300ml</t>
  </si>
  <si>
    <t xml:space="preserve">Syrup almond 0,01</t>
  </si>
  <si>
    <t xml:space="preserve">Seven up 0,12</t>
  </si>
  <si>
    <t xml:space="preserve">Banana free, 300ml</t>
  </si>
  <si>
    <t xml:space="preserve">Syrup banana 0,015</t>
  </si>
  <si>
    <t xml:space="preserve">Vanilla-apple, 300ml</t>
  </si>
  <si>
    <t xml:space="preserve">Syrup vanilla 0,03</t>
  </si>
  <si>
    <t xml:space="preserve">Pina colada, 300ml</t>
  </si>
  <si>
    <t xml:space="preserve">Yuzu-grapefruit, 300ml</t>
  </si>
  <si>
    <t xml:space="preserve">Grapefruit juice 0,01</t>
  </si>
  <si>
    <t xml:space="preserve">Red passion, 300ml</t>
  </si>
  <si>
    <t xml:space="preserve">Pineapple juice 0,08</t>
  </si>
  <si>
    <t xml:space="preserve">Bubble gum-apple, 300ml</t>
  </si>
  <si>
    <t xml:space="preserve">Syrup bubble gum 0,015</t>
  </si>
  <si>
    <t xml:space="preserve">Seven up 0,08</t>
  </si>
  <si>
    <t xml:space="preserve">Sunrise free, 300ml</t>
  </si>
  <si>
    <t xml:space="preserve">Orange 0,01</t>
  </si>
  <si>
    <t xml:space="preserve">Selasao</t>
  </si>
  <si>
    <t xml:space="preserve">Ром - 40</t>
  </si>
  <si>
    <t xml:space="preserve">Апероль 20</t>
  </si>
  <si>
    <t xml:space="preserve">Сироп корицы 20</t>
  </si>
  <si>
    <t xml:space="preserve">Сок Грейпа 60</t>
  </si>
  <si>
    <t xml:space="preserve">Сок лимона 20</t>
  </si>
  <si>
    <t xml:space="preserve">Rio</t>
  </si>
  <si>
    <t xml:space="preserve">Виски 40</t>
  </si>
  <si>
    <t xml:space="preserve">Ликер melon 20</t>
  </si>
  <si>
    <t xml:space="preserve">Сироп банан 20</t>
  </si>
  <si>
    <t xml:space="preserve">Сок яблоко 80</t>
  </si>
  <si>
    <t xml:space="preserve">canal oxidado или Saude! </t>
  </si>
  <si>
    <t xml:space="preserve">Ликер  кассис 20</t>
  </si>
  <si>
    <t xml:space="preserve">Сок апельсин 30</t>
  </si>
  <si>
    <t xml:space="preserve">Сироп мед 20</t>
  </si>
  <si>
    <t xml:space="preserve">Тоник 20</t>
  </si>
  <si>
    <t xml:space="preserve">Salut de familia </t>
  </si>
  <si>
    <t xml:space="preserve">Трипло 60</t>
  </si>
  <si>
    <t xml:space="preserve">Персик 40</t>
  </si>
  <si>
    <t xml:space="preserve">Малиновое пюре 20</t>
  </si>
  <si>
    <t xml:space="preserve">Ultima carrera </t>
  </si>
  <si>
    <t xml:space="preserve">Самбука-40</t>
  </si>
  <si>
    <t xml:space="preserve">Кофейный - 80</t>
  </si>
  <si>
    <t xml:space="preserve">Сливки-40</t>
  </si>
  <si>
    <t xml:space="preserve">Упущенный(пропущенный) дедлайн  мисс деад
</t>
  </si>
  <si>
    <t xml:space="preserve">Джин 40</t>
  </si>
  <si>
    <t xml:space="preserve">Пюре маракуйя 20</t>
  </si>
  <si>
    <t xml:space="preserve">Малиновый ликер 20</t>
  </si>
  <si>
    <t xml:space="preserve">Содовая 80</t>
  </si>
  <si>
    <t xml:space="preserve">Чертова планерка  дамн </t>
  </si>
  <si>
    <t xml:space="preserve">Ликер черная смородина 20</t>
  </si>
  <si>
    <t xml:space="preserve">Сироп черная смородина 10</t>
  </si>
  <si>
    <t xml:space="preserve">7up 80</t>
  </si>
  <si>
    <t xml:space="preserve">Кофейный 20</t>
  </si>
  <si>
    <t xml:space="preserve">Кола 120</t>
  </si>
  <si>
    <t xml:space="preserve">Твое выгорание</t>
  </si>
  <si>
    <t xml:space="preserve">Виски 80</t>
  </si>
  <si>
    <t xml:space="preserve">Сироп Мед 40</t>
  </si>
  <si>
    <t xml:space="preserve">Сок яблоко 40</t>
  </si>
  <si>
    <t xml:space="preserve">5 дней Ада сет на 5шотов!!!!</t>
  </si>
  <si>
    <t xml:space="preserve">Абсент 80</t>
  </si>
  <si>
    <t xml:space="preserve">ЛИКЕР Блюха 40</t>
  </si>
  <si>
    <t xml:space="preserve">Ваниль сироп 40</t>
  </si>
  <si>
    <t xml:space="preserve">Лимон 40</t>
  </si>
  <si>
    <t xml:space="preserve">Корпоратив с бухгалтерией  корпорат</t>
  </si>
  <si>
    <t xml:space="preserve">Ликер бузины 40</t>
  </si>
  <si>
    <t xml:space="preserve">Гренадин 20</t>
  </si>
  <si>
    <t xml:space="preserve">Impala 63’</t>
  </si>
  <si>
    <t xml:space="preserve">Ром 30</t>
  </si>
  <si>
    <t xml:space="preserve">Сиббитер кола 30</t>
  </si>
  <si>
    <t xml:space="preserve">Вермут 20</t>
  </si>
  <si>
    <t xml:space="preserve">Лимонный фреш 20</t>
  </si>
  <si>
    <t xml:space="preserve">Сироп корица 20</t>
  </si>
  <si>
    <t xml:space="preserve">Кола 60</t>
  </si>
  <si>
    <t xml:space="preserve">Lin4ik</t>
  </si>
  <si>
    <t xml:space="preserve">Джин 60</t>
  </si>
  <si>
    <t xml:space="preserve">Лимонный фреш 30</t>
  </si>
  <si>
    <t xml:space="preserve"> Сироп Черная смородина 30</t>
  </si>
  <si>
    <t xml:space="preserve">Содовая 60</t>
  </si>
  <si>
    <t xml:space="preserve">Сок апельсин 20</t>
  </si>
  <si>
    <t xml:space="preserve">Detroit Soul</t>
  </si>
  <si>
    <t xml:space="preserve">Трипло 20</t>
  </si>
  <si>
    <t xml:space="preserve">Маракуйя пюре 20</t>
  </si>
  <si>
    <t xml:space="preserve">Тоник 40</t>
  </si>
  <si>
    <t xml:space="preserve">Crips</t>
  </si>
  <si>
    <t xml:space="preserve">ликер Блюха 60</t>
  </si>
  <si>
    <t xml:space="preserve">Игристое 40</t>
  </si>
  <si>
    <t xml:space="preserve">Bloods</t>
  </si>
  <si>
    <t xml:space="preserve">Лимонный фреш 40</t>
  </si>
  <si>
    <t xml:space="preserve">Соджу персик 40</t>
  </si>
  <si>
    <t xml:space="preserve">Гренадин 40</t>
  </si>
  <si>
    <t xml:space="preserve">Flowers Spritz</t>
  </si>
  <si>
    <t xml:space="preserve">Джин 10</t>
  </si>
  <si>
    <t xml:space="preserve">Ликер Бузины 40</t>
  </si>
  <si>
    <t xml:space="preserve">Сироп жасмин 10</t>
  </si>
  <si>
    <t xml:space="preserve">Игристое 80</t>
  </si>
  <si>
    <t xml:space="preserve">Содовая 20</t>
  </si>
  <si>
    <t xml:space="preserve">Peach Aurora Spritz</t>
  </si>
  <si>
    <t xml:space="preserve">Персик ликер 40</t>
  </si>
  <si>
    <t xml:space="preserve">сироп Ваниль 10</t>
  </si>
  <si>
    <t xml:space="preserve">Tropicana Spritz</t>
  </si>
  <si>
    <t xml:space="preserve">Ликер Кокос 20</t>
  </si>
  <si>
    <t xml:space="preserve">Ликер Дыня 20</t>
  </si>
  <si>
    <t xml:space="preserve">Кордиал Пандан Банан 20</t>
  </si>
  <si>
    <t xml:space="preserve"> Zen Spritz</t>
  </si>
  <si>
    <t xml:space="preserve">Ликер Личи 40</t>
  </si>
  <si>
    <t xml:space="preserve">Сироп грейп 20</t>
  </si>
  <si>
    <t xml:space="preserve">Сок грейп 30</t>
  </si>
  <si>
    <t xml:space="preserve">Игристое 60</t>
  </si>
  <si>
    <t xml:space="preserve">Aqua Dulce Spritz</t>
  </si>
  <si>
    <t xml:space="preserve">Соджу 40</t>
  </si>
  <si>
    <t xml:space="preserve">Малина ликер 30</t>
  </si>
  <si>
    <t xml:space="preserve">Бунт на корабле (300мл</t>
  </si>
  <si>
    <t xml:space="preserve">2. Сироп Blacberry 20</t>
  </si>
  <si>
    <t xml:space="preserve">3. Лимон сок 20</t>
  </si>
  <si>
    <t xml:space="preserve">4. Апельсиновый сок 30</t>
  </si>
  <si>
    <t xml:space="preserve">5. Игристое 40</t>
  </si>
  <si>
    <t xml:space="preserve">Проклятие Дэйви Джонса (300мл)</t>
  </si>
  <si>
    <t xml:space="preserve">1. Ром 40</t>
  </si>
  <si>
    <t xml:space="preserve">2. Лимон сок 20</t>
  </si>
  <si>
    <t xml:space="preserve">3. Блюха 30 ликер</t>
  </si>
  <si>
    <t xml:space="preserve">4. Белок 30</t>
  </si>
  <si>
    <t xml:space="preserve">5. Сироп кокос 20</t>
  </si>
  <si>
    <t xml:space="preserve">Сундук Мертвеца (300мл)</t>
  </si>
  <si>
    <t xml:space="preserve">2. Лимон сок - 20</t>
  </si>
  <si>
    <t xml:space="preserve">3. Трипло 20</t>
  </si>
  <si>
    <t xml:space="preserve">5. Сироп миндаль 20</t>
  </si>
  <si>
    <t xml:space="preserve">Жемчужина Карибов (4х40)</t>
  </si>
  <si>
    <t xml:space="preserve">2. Клавис груша жасмин виноград 30</t>
  </si>
  <si>
    <t xml:space="preserve">3. Лимонный сок 20</t>
  </si>
  <si>
    <t xml:space="preserve">4. Бабл гам сироп 30</t>
  </si>
  <si>
    <t xml:space="preserve">Бухта Скелетов (4х40</t>
  </si>
  <si>
    <t xml:space="preserve">1. Ром 50</t>
  </si>
  <si>
    <t xml:space="preserve">2. Клавис банан 30</t>
  </si>
  <si>
    <t xml:space="preserve">3. Яблоко сок 20</t>
  </si>
  <si>
    <t xml:space="preserve">4. Лимонный сок 20</t>
  </si>
  <si>
    <t xml:space="preserve">5. Ликер персик 40</t>
  </si>
  <si>
    <t xml:space="preserve">Blazer 300мл</t>
  </si>
  <si>
    <t xml:space="preserve">Блю Кюрасао ликер 20</t>
  </si>
  <si>
    <t xml:space="preserve">Лимонный сок 20</t>
  </si>
  <si>
    <t xml:space="preserve">Белок 20</t>
  </si>
  <si>
    <t xml:space="preserve">Тоник 80</t>
  </si>
  <si>
    <t xml:space="preserve">Jaguar 300мл</t>
  </si>
  <si>
    <t xml:space="preserve">Ананасовый сок 40</t>
  </si>
  <si>
    <t xml:space="preserve">Тоник 60</t>
  </si>
  <si>
    <t xml:space="preserve">Strike 300 мл</t>
  </si>
  <si>
    <t xml:space="preserve">Ликер малины 20</t>
  </si>
  <si>
    <t xml:space="preserve">Сок вишня 30</t>
  </si>
  <si>
    <t xml:space="preserve">Рб 1/2</t>
  </si>
  <si>
    <t xml:space="preserve">Три топора 4х40</t>
  </si>
  <si>
    <t xml:space="preserve">Вермут Россо 60</t>
  </si>
  <si>
    <t xml:space="preserve">Черри сироп 40</t>
  </si>
  <si>
    <t xml:space="preserve">MTV Vibes 4х40</t>
  </si>
  <si>
    <t xml:space="preserve">Виски 60</t>
  </si>
  <si>
    <t xml:space="preserve">Трипло 40</t>
  </si>
  <si>
    <t xml:space="preserve">Ванильный сироп 30</t>
  </si>
  <si>
    <t xml:space="preserve">Midnight Coffee</t>
  </si>
  <si>
    <t xml:space="preserve">Сиббитер Кола 40</t>
  </si>
  <si>
    <t xml:space="preserve">Кофейный ликер 20</t>
  </si>
  <si>
    <t xml:space="preserve">Ванильный сироп 20</t>
  </si>
  <si>
    <t xml:space="preserve">Milkshake Collin’s (Milk + by VNVNC)</t>
  </si>
  <si>
    <t xml:space="preserve">Пюре малины 20</t>
  </si>
  <si>
    <t xml:space="preserve">Emerald Glow</t>
  </si>
  <si>
    <t xml:space="preserve">Ликер Мелон 20</t>
  </si>
  <si>
    <t xml:space="preserve">Блю Кюрасао 20</t>
  </si>
  <si>
    <t xml:space="preserve">Ананас сок 20</t>
  </si>
  <si>
    <t xml:space="preserve">My little Hommie </t>
  </si>
  <si>
    <t xml:space="preserve">Ром - 60</t>
  </si>
  <si>
    <t xml:space="preserve">Сливочный ликер 30</t>
  </si>
  <si>
    <t xml:space="preserve">Кофейный ликер 30</t>
  </si>
  <si>
    <t xml:space="preserve">Ванильный сироп 40</t>
  </si>
  <si>
    <t xml:space="preserve">Triple SiX</t>
  </si>
  <si>
    <t xml:space="preserve">Джин - 80</t>
  </si>
  <si>
    <t xml:space="preserve">Малиновое пюре - 40</t>
  </si>
  <si>
    <t xml:space="preserve">Малиновый Ликер 40</t>
  </si>
  <si>
    <t xml:space="preserve">Табаско 2-3 капли</t>
  </si>
  <si>
    <t xml:space="preserve">Angels </t>
  </si>
  <si>
    <t xml:space="preserve">Джин 50</t>
  </si>
  <si>
    <t xml:space="preserve">Блю Кюрасао 30</t>
  </si>
  <si>
    <t xml:space="preserve">Лимонный сок 40</t>
  </si>
  <si>
    <t xml:space="preserve">Пюре малины 40</t>
  </si>
  <si>
    <t xml:space="preserve">Melon Perle</t>
  </si>
  <si>
    <t xml:space="preserve">Ликер кокос 26</t>
  </si>
  <si>
    <t xml:space="preserve">Ликер дыни 26</t>
  </si>
  <si>
    <t xml:space="preserve">Velvet bramble</t>
  </si>
  <si>
    <t xml:space="preserve">Лимонный сок 30</t>
  </si>
  <si>
    <t xml:space="preserve">Сироп Блэк Берри 30</t>
  </si>
  <si>
    <t xml:space="preserve">Содовая 50</t>
  </si>
  <si>
    <t xml:space="preserve">Summer dram</t>
  </si>
  <si>
    <t xml:space="preserve">Ликер персик 20</t>
  </si>
  <si>
    <t xml:space="preserve">In da game</t>
  </si>
  <si>
    <t xml:space="preserve">Ликер кокос 40</t>
  </si>
  <si>
    <t xml:space="preserve">Сироп ваниль 30</t>
  </si>
  <si>
    <t xml:space="preserve">Gin eldorado</t>
  </si>
  <si>
    <t xml:space="preserve">Сироп Гренадин 30</t>
  </si>
  <si>
    <t xml:space="preserve">Street king шейк обьем 300 хоп</t>
  </si>
  <si>
    <t xml:space="preserve">Ликер яблоко 20</t>
  </si>
  <si>
    <t xml:space="preserve">Сироп лайм 20</t>
  </si>
  <si>
    <t xml:space="preserve">Содовая 40</t>
  </si>
  <si>
    <t xml:space="preserve">Flow Rider шейк 300мл хоп</t>
  </si>
  <si>
    <t xml:space="preserve">Ликер кокос 20</t>
  </si>
  <si>
    <t xml:space="preserve">Creep cooler стир 250мл рок</t>
  </si>
  <si>
    <t xml:space="preserve">Виски 30</t>
  </si>
  <si>
    <t xml:space="preserve">Мартини Россо 25</t>
  </si>
  <si>
    <t xml:space="preserve">Биттер 25</t>
  </si>
  <si>
    <t xml:space="preserve">Кофейный ликер 10</t>
  </si>
  <si>
    <t xml:space="preserve">Red riot шейк 300мл рок</t>
  </si>
  <si>
    <t xml:space="preserve">Трипло 30</t>
  </si>
  <si>
    <t xml:space="preserve">Биттер 30</t>
  </si>
  <si>
    <t xml:space="preserve">C.R.E.A.M. шейк</t>
  </si>
  <si>
    <t xml:space="preserve">Кокосовый ликер 60</t>
  </si>
  <si>
    <t xml:space="preserve">Ликер личи 60</t>
  </si>
  <si>
    <t xml:space="preserve">Сливки 20</t>
  </si>
  <si>
    <t xml:space="preserve">Road to hell слоями </t>
  </si>
  <si>
    <t xml:space="preserve">Трипла 60</t>
  </si>
  <si>
    <t xml:space="preserve">Pop quiz шейк 300мл</t>
  </si>
  <si>
    <t xml:space="preserve">Ликер личи 20</t>
  </si>
  <si>
    <t xml:space="preserve">Сироп бабл гам 20</t>
  </si>
  <si>
    <t xml:space="preserve">Содовая 30</t>
  </si>
  <si>
    <t xml:space="preserve">First Bell(Первый звонок) дабл шейк 300мл</t>
  </si>
  <si>
    <t xml:space="preserve">джин 40</t>
  </si>
  <si>
    <t xml:space="preserve">Niva aperitivo 20</t>
  </si>
  <si>
    <t xml:space="preserve">Пюре малина 20</t>
  </si>
  <si>
    <t xml:space="preserve">Белок 25</t>
  </si>
  <si>
    <t xml:space="preserve">School spirit шейк 300 мл</t>
  </si>
  <si>
    <t xml:space="preserve">Тундра  биттер 40</t>
  </si>
  <si>
    <t xml:space="preserve">Биттер 20</t>
  </si>
  <si>
    <t xml:space="preserve">Сок апельсин 60</t>
  </si>
  <si>
    <t xml:space="preserve">Math problem</t>
  </si>
  <si>
    <t xml:space="preserve">Лаб 38 груша 60</t>
  </si>
  <si>
    <t xml:space="preserve">Сироп лайм 40</t>
  </si>
  <si>
    <t xml:space="preserve">Сок лимона 40</t>
  </si>
  <si>
    <t xml:space="preserve">History shot</t>
  </si>
  <si>
    <t xml:space="preserve">Ликер персик 40</t>
  </si>
  <si>
    <t xml:space="preserve">Деканат open bar</t>
  </si>
  <si>
    <t xml:space="preserve">Rum 40</t>
  </si>
  <si>
    <t xml:space="preserve">Niva distillery Blue Curaçao 20</t>
  </si>
  <si>
    <t xml:space="preserve">Lemon fresh 20</t>
  </si>
  <si>
    <t xml:space="preserve">Syrup Coconut 20</t>
  </si>
  <si>
    <t xml:space="preserve">White egg 20</t>
  </si>
  <si>
    <t xml:space="preserve">Сессия без паники</t>
  </si>
  <si>
    <t xml:space="preserve">Niva distillery coconut 30</t>
  </si>
  <si>
    <t xml:space="preserve">Niva distillery melon 30</t>
  </si>
  <si>
    <t xml:space="preserve">Sparkling wine 60</t>
  </si>
  <si>
    <t xml:space="preserve">Soda 20</t>
  </si>
  <si>
    <t xml:space="preserve">Ночь перед сессией</t>
  </si>
  <si>
    <t xml:space="preserve">Vodka 40</t>
  </si>
  <si>
    <t xml:space="preserve">Niva distillery apple 20</t>
  </si>
  <si>
    <t xml:space="preserve">Syrup lime 20</t>
  </si>
  <si>
    <t xml:space="preserve">Soda 40</t>
  </si>
  <si>
    <t xml:space="preserve">Пересдача Deluxe</t>
  </si>
  <si>
    <t xml:space="preserve">Niva distillery coffee 60</t>
  </si>
  <si>
    <t xml:space="preserve">Niva distillery triple sec 60</t>
  </si>
  <si>
    <t xml:space="preserve">Три балла до Рая</t>
  </si>
  <si>
    <t xml:space="preserve">Lab 38 pear quince 60</t>
  </si>
  <si>
    <t xml:space="preserve">Niva distillery elderflower 40</t>
  </si>
  <si>
    <t xml:space="preserve">Syrup lime 40</t>
  </si>
  <si>
    <t xml:space="preserve">Lemon fresh 40</t>
  </si>
  <si>
    <t xml:space="preserve">Godzilla</t>
  </si>
  <si>
    <t xml:space="preserve">Midnight boost</t>
  </si>
  <si>
    <t xml:space="preserve">Гренадин 10</t>
  </si>
  <si>
    <t xml:space="preserve">Украшение сублимированная Малина</t>
  </si>
  <si>
    <t xml:space="preserve">не будет</t>
  </si>
  <si>
    <t xml:space="preserve">Ликер дыня 20</t>
  </si>
  <si>
    <t xml:space="preserve">Сироп банан 10</t>
  </si>
  <si>
    <t xml:space="preserve">Украшение банановые чипсы</t>
  </si>
  <si>
    <t xml:space="preserve">Clutch kick</t>
  </si>
  <si>
    <t xml:space="preserve">Украшение слайс лайм</t>
  </si>
  <si>
    <t xml:space="preserve">Сироп огурец 20</t>
  </si>
  <si>
    <t xml:space="preserve">Содовая</t>
  </si>
  <si>
    <t xml:space="preserve">Украшения слайс огурца</t>
  </si>
  <si>
    <t xml:space="preserve">Red rings</t>
  </si>
  <si>
    <t xml:space="preserve">Фиеро 40</t>
  </si>
  <si>
    <t xml:space="preserve">Пюре малины 15</t>
  </si>
  <si>
    <t xml:space="preserve">Украшение цветы</t>
  </si>
  <si>
    <t xml:space="preserve">Вермут Россо 20</t>
  </si>
  <si>
    <t xml:space="preserve">Кофейный 10</t>
  </si>
  <si>
    <t xml:space="preserve">Украшение апельсин(</t>
  </si>
  <si>
    <t xml:space="preserve">Oversteer</t>
  </si>
  <si>
    <t xml:space="preserve">Мартини extra dry 30</t>
  </si>
  <si>
    <t xml:space="preserve">Аперетиво 30</t>
  </si>
  <si>
    <t xml:space="preserve">Сок Грейпфрут 30</t>
  </si>
  <si>
    <t xml:space="preserve">Содовая 10мл</t>
  </si>
  <si>
    <t xml:space="preserve">Украшение Слайс Грейпа</t>
  </si>
  <si>
    <t xml:space="preserve">Сок апельсин 40</t>
  </si>
  <si>
    <t xml:space="preserve">Украшение апельсин</t>
  </si>
  <si>
    <t xml:space="preserve">Клавис груша жасмин виноград 40</t>
  </si>
  <si>
    <t xml:space="preserve">Сироп ваниль 10</t>
  </si>
  <si>
    <t xml:space="preserve">No Grip</t>
  </si>
  <si>
    <t xml:space="preserve">Ликер яблоко 40</t>
  </si>
  <si>
    <t xml:space="preserve">Сок лайма 40</t>
  </si>
  <si>
    <t xml:space="preserve">Midnight</t>
  </si>
  <si>
    <t xml:space="preserve">Ликер кокос 30</t>
  </si>
  <si>
    <t xml:space="preserve">Блю Кюрасао сироп 40</t>
  </si>
  <si>
    <t xml:space="preserve">Bloody mojito </t>
  </si>
  <si>
    <t xml:space="preserve">Пюре мохито 30</t>
  </si>
  <si>
    <t xml:space="preserve">Сода 20</t>
  </si>
  <si>
    <t xml:space="preserve">Украшение глаза</t>
  </si>
  <si>
    <t xml:space="preserve">Pink horror </t>
  </si>
  <si>
    <t xml:space="preserve">Кокосовый ликер 20</t>
  </si>
  <si>
    <t xml:space="preserve">Украшение печенье (</t>
  </si>
  <si>
    <t xml:space="preserve">Human Smoothie</t>
  </si>
  <si>
    <t xml:space="preserve">Текила 40</t>
  </si>
  <si>
    <t xml:space="preserve">Сок томат+апельсин  60</t>
  </si>
  <si>
    <t xml:space="preserve">Соль/перец</t>
  </si>
  <si>
    <t xml:space="preserve">тобаско + вочестер</t>
  </si>
  <si>
    <t xml:space="preserve">Украшение мозги</t>
  </si>
  <si>
    <t xml:space="preserve">Green gremlin</t>
  </si>
  <si>
    <t xml:space="preserve">Абсент 40</t>
  </si>
  <si>
    <t xml:space="preserve">Мартини экстра драй 40</t>
  </si>
  <si>
    <t xml:space="preserve">Кокосовый сироп 40</t>
  </si>
  <si>
    <t xml:space="preserve">Лимонный 40</t>
  </si>
  <si>
    <t xml:space="preserve">Zombie brain</t>
  </si>
  <si>
    <t xml:space="preserve">Водка - 50</t>
  </si>
  <si>
    <t xml:space="preserve">ликер Бузина 40</t>
  </si>
  <si>
    <t xml:space="preserve">КОКТЕЙЛИ</t>
  </si>
  <si>
    <t xml:space="preserve">Circus of Clouds 300 ML</t>
  </si>
  <si>
    <t xml:space="preserve">Vodka </t>
  </si>
  <si>
    <t xml:space="preserve">Soju grape </t>
  </si>
  <si>
    <t xml:space="preserve">Lemon fresh </t>
  </si>
  <si>
    <t xml:space="preserve">Sakura syrup </t>
  </si>
  <si>
    <t xml:space="preserve">Tonic </t>
  </si>
  <si>
    <t xml:space="preserve">Circus of Cream 300 ML</t>
  </si>
  <si>
    <t xml:space="preserve">Niva distillery cream </t>
  </si>
  <si>
    <t xml:space="preserve">Rum </t>
  </si>
  <si>
    <t xml:space="preserve">                        Peach syrup </t>
  </si>
  <si>
    <t xml:space="preserve">Pineapple juice </t>
  </si>
  <si>
    <t xml:space="preserve">Circus long 300 ML</t>
  </si>
  <si>
    <t xml:space="preserve">Gin </t>
  </si>
  <si>
    <t xml:space="preserve">Tequila </t>
  </si>
  <si>
    <t xml:space="preserve">Niva distillery Blue Curaçao </t>
  </si>
  <si>
    <t xml:space="preserve">Cherry syrup </t>
  </si>
  <si>
    <t xml:space="preserve">Sprite </t>
  </si>
  <si>
    <t xml:space="preserve">сеты шотов 4х40 ml</t>
  </si>
  <si>
    <t xml:space="preserve">Blue Trick</t>
  </si>
  <si>
    <t xml:space="preserve">Niva distillery </t>
  </si>
  <si>
    <t xml:space="preserve">Blueberry syrup </t>
  </si>
  <si>
    <t xml:space="preserve">Spicy Clown</t>
  </si>
  <si>
    <t xml:space="preserve">Niva distillery apple </t>
  </si>
  <si>
    <t xml:space="preserve">Spicy mango syrup </t>
  </si>
  <si>
    <t xml:space="preserve">Red carpet ,300ml</t>
  </si>
  <si>
    <t xml:space="preserve">Niva Distillery Liquor peach 0,03</t>
  </si>
  <si>
    <t xml:space="preserve">Apple juice 0,02</t>
  </si>
  <si>
    <t xml:space="preserve">Raspberry puree 0,03</t>
  </si>
  <si>
    <t xml:space="preserve">Hollywood ,300ml</t>
  </si>
  <si>
    <t xml:space="preserve">Niva Distillery Liquor Elderflower 0,03</t>
  </si>
  <si>
    <t xml:space="preserve">Marilyn Monroe, 150ml</t>
  </si>
  <si>
    <t xml:space="preserve">Gin Royal Raven Dry 0,03</t>
  </si>
  <si>
    <t xml:space="preserve">Cordial Clavis yuzu/bamboo/lemongrass 0,03</t>
  </si>
  <si>
    <t xml:space="preserve">Kafir lime 0,005</t>
  </si>
  <si>
    <t xml:space="preserve">Oscar</t>
  </si>
  <si>
    <t xml:space="preserve">Syrup honey 0,04</t>
  </si>
  <si>
    <t xml:space="preserve">Red light,180ml</t>
  </si>
  <si>
    <t xml:space="preserve">Niva Distillery Aperitivo 0,02</t>
  </si>
  <si>
    <t xml:space="preserve">Green light, 300ml</t>
  </si>
  <si>
    <t xml:space="preserve">Soju grape - aloe 0,04</t>
  </si>
  <si>
    <t xml:space="preserve">The squid game, 300ml</t>
  </si>
  <si>
    <t xml:space="preserve">Soju peach 0,03</t>
  </si>
  <si>
    <t xml:space="preserve">Last level</t>
  </si>
  <si>
    <t xml:space="preserve">Vodka Хаски 0,08</t>
  </si>
  <si>
    <t xml:space="preserve">Syrup bubble gum 0,04</t>
  </si>
  <si>
    <t xml:space="preserve">сс кг</t>
  </si>
  <si>
    <t xml:space="preserve">сс шт</t>
  </si>
  <si>
    <t xml:space="preserve">цена</t>
  </si>
  <si>
    <t xml:space="preserve">наценка</t>
  </si>
  <si>
    <t xml:space="preserve">Соус барбекю п/ф 1 кг</t>
  </si>
  <si>
    <t xml:space="preserve">Соус Деми Глас  60гр</t>
  </si>
  <si>
    <t xml:space="preserve">Жидкий дым 20 гр</t>
  </si>
  <si>
    <t xml:space="preserve">Кетчуп  350 гр.</t>
  </si>
  <si>
    <t xml:space="preserve">Чеснок 10 гр</t>
  </si>
  <si>
    <t xml:space="preserve">Сердечки куриные п/ф 1 кг</t>
  </si>
  <si>
    <t xml:space="preserve">Сердечки куриные 950 гр</t>
  </si>
  <si>
    <t xml:space="preserve">Соус устричный 50 гр</t>
  </si>
  <si>
    <t xml:space="preserve">Масло кунжутное 10 гр</t>
  </si>
  <si>
    <t xml:space="preserve">Кинза 40 гр</t>
  </si>
  <si>
    <t xml:space="preserve">Соль 5 гр</t>
  </si>
  <si>
    <t xml:space="preserve">Шашлык из свинины п/ф 1 кг</t>
  </si>
  <si>
    <t xml:space="preserve">Шея свин. 850 гр.</t>
  </si>
  <si>
    <t xml:space="preserve">Лук репчатый 100 гр.</t>
  </si>
  <si>
    <t xml:space="preserve">Томатная паста 30 гр</t>
  </si>
  <si>
    <t xml:space="preserve">Горчица русская 10 гр.</t>
  </si>
  <si>
    <t xml:space="preserve">Масло рост 10 гр</t>
  </si>
  <si>
    <t xml:space="preserve">Рёбра свиные п/ф: 1 кг</t>
  </si>
  <si>
    <t xml:space="preserve">Рёбра свиные 900гр</t>
  </si>
  <si>
    <t xml:space="preserve">Паста томатная 50 гр.</t>
  </si>
  <si>
    <t xml:space="preserve">Горчица французская 20гр</t>
  </si>
  <si>
    <t xml:space="preserve">Горчица русская 20 гр</t>
  </si>
  <si>
    <t xml:space="preserve">Масло рост 5 гр</t>
  </si>
  <si>
    <t xml:space="preserve">Шашлык куриный п/ф 1 кг</t>
  </si>
  <si>
    <t xml:space="preserve">Кура бедро феле 800гр</t>
  </si>
  <si>
    <t xml:space="preserve">Лук репчатый 150 гр</t>
  </si>
  <si>
    <t xml:space="preserve">Паста Карри 30 гр</t>
  </si>
  <si>
    <t xml:space="preserve">Масло рост 20гр</t>
  </si>
  <si>
    <t xml:space="preserve">Коу Слоу п/ф 1 кг</t>
  </si>
  <si>
    <t xml:space="preserve">Капуста б/к 400гр</t>
  </si>
  <si>
    <t xml:space="preserve">Капуста краснокачанная 300гр</t>
  </si>
  <si>
    <t xml:space="preserve">Морковь 150</t>
  </si>
  <si>
    <t xml:space="preserve">Майонез 150</t>
  </si>
  <si>
    <t xml:space="preserve">Фокача с песто 1 шт 260гр</t>
  </si>
  <si>
    <t xml:space="preserve">Тесто на пиццу 220 гр</t>
  </si>
  <si>
    <t xml:space="preserve">Соус песто 30 гр</t>
  </si>
  <si>
    <t xml:space="preserve">Пармезан 15 гр</t>
  </si>
  <si>
    <t xml:space="preserve">Розмарин 5 гр</t>
  </si>
  <si>
    <t xml:space="preserve">Рёбра Адама 250/160/30</t>
  </si>
  <si>
    <t xml:space="preserve">Рёбра свиные п/ф 360гр</t>
  </si>
  <si>
    <t xml:space="preserve">Картофель свежий 280гр</t>
  </si>
  <si>
    <t xml:space="preserve">Соус барбекю п/ф 30гр</t>
  </si>
  <si>
    <t xml:space="preserve">Чеснок 2 гр</t>
  </si>
  <si>
    <t xml:space="preserve">Томатная паста 10 гр</t>
  </si>
  <si>
    <t xml:space="preserve">Горчица французская 5 гр</t>
  </si>
  <si>
    <t xml:space="preserve">Жидкий дым 2 гр</t>
  </si>
  <si>
    <t xml:space="preserve">Аджика 5 гр.</t>
  </si>
  <si>
    <t xml:space="preserve">Соус горчичный  30гр</t>
  </si>
  <si>
    <t xml:space="preserve">Пицца "Сытная" 440гр</t>
  </si>
  <si>
    <t xml:space="preserve">Сыр моцарелла 90 гр</t>
  </si>
  <si>
    <t xml:space="preserve">Сыр гауда 20 гр</t>
  </si>
  <si>
    <t xml:space="preserve">Соус барбекю 50 гр</t>
  </si>
  <si>
    <t xml:space="preserve">Буженина п/ф 40 гр</t>
  </si>
  <si>
    <t xml:space="preserve">Корнишоны 20 гр</t>
  </si>
  <si>
    <t xml:space="preserve">Кура феле п/ф 30 гр</t>
  </si>
  <si>
    <t xml:space="preserve">Бекон 30 гр</t>
  </si>
  <si>
    <t xml:space="preserve">Пеперони 20 гр</t>
  </si>
  <si>
    <t xml:space="preserve">Лук красный 20 гр</t>
  </si>
  <si>
    <t xml:space="preserve">Пицца "Груша Дор Блю" 430гр</t>
  </si>
  <si>
    <t xml:space="preserve">Сливки 22% 30гр</t>
  </si>
  <si>
    <t xml:space="preserve">Груша конферец 150 гр</t>
  </si>
  <si>
    <t xml:space="preserve">Сыр Мон Блю 30гр</t>
  </si>
  <si>
    <t xml:space="preserve">Мёд 10гр</t>
  </si>
  <si>
    <t xml:space="preserve">Миндаль слайс 10гр</t>
  </si>
  <si>
    <t xml:space="preserve">Пицца: "прошуто фунги" 390гр</t>
  </si>
  <si>
    <t xml:space="preserve">Соус пицца 50 гр</t>
  </si>
  <si>
    <t xml:space="preserve">Окорок тамбовский 40 гр</t>
  </si>
  <si>
    <t xml:space="preserve">Шампиньоны свежие 20 гр</t>
  </si>
  <si>
    <t xml:space="preserve">Орегано специя 1 гр</t>
  </si>
  <si>
    <t xml:space="preserve">Мясной сэт 1,1 кг</t>
  </si>
  <si>
    <t xml:space="preserve">Шашлык из курицы 160гр.</t>
  </si>
  <si>
    <t xml:space="preserve">Шашлык из свинины 200гр</t>
  </si>
  <si>
    <t xml:space="preserve">Шашлык из куриных сердечек 160 гр.</t>
  </si>
  <si>
    <t xml:space="preserve">Колбаски гриль из свинины с сыром 160гр</t>
  </si>
  <si>
    <t xml:space="preserve">Салат Коу - Слоу 80 гр</t>
  </si>
  <si>
    <t xml:space="preserve">Картофель фри 150 гр</t>
  </si>
  <si>
    <t xml:space="preserve">Соус сальса томатная 50 гр.</t>
  </si>
  <si>
    <t xml:space="preserve">Соус фрэнч  пф 50 гр.</t>
  </si>
  <si>
    <t xml:space="preserve">Перец хлапенью 20 гр.</t>
  </si>
  <si>
    <t xml:space="preserve">Микс зелени 10 гр</t>
  </si>
  <si>
    <t xml:space="preserve">Фокача с песто и розмарином 240 гр</t>
  </si>
  <si>
    <t xml:space="preserve">КУХНЯ</t>
  </si>
  <si>
    <t xml:space="preserve">наценка в %</t>
  </si>
  <si>
    <t xml:space="preserve">В СТОЛ</t>
  </si>
  <si>
    <t xml:space="preserve">Пивной сет (куриные крылья, сырные палочки, гренки, луковые кольца, подается с тремя соусами), 400 гр.</t>
  </si>
  <si>
    <t xml:space="preserve">Мясное плато (буженина, куриное филе, карбонад, пепперони, помидоры черри, зелень, горчица и хрен), 120 / 180 / 60 гр.</t>
  </si>
  <si>
    <t xml:space="preserve">Сырное плато (гауда, дорблю, чечил, пармезан, эмменталь, виноград, мёд, крекеры, грецкие орехи, горчица), 260 / 110 гр.</t>
  </si>
  <si>
    <t xml:space="preserve">Фруктовое ассорти (сладкая груша, апельсин, виноград, яблоко, банан), 450 гр.</t>
  </si>
  <si>
    <t xml:space="preserve">Мясной сет (шашлык куриный, шашлык свиной, шашлык из куриных сердечек, колбаски гриль из свинины с сыром, салат коул-слоу, картофель фри, соуса сальса и френч, перец халапеньо, микс зелени, фокача с песто и розмарином) 1100 гр</t>
  </si>
  <si>
    <t xml:space="preserve">ЗАКУСКИ</t>
  </si>
  <si>
    <t xml:space="preserve">Брускетты с томатами и моцареллой, 3 шт., 280 гр.</t>
  </si>
  <si>
    <t xml:space="preserve">Брускетты четыре сыра, 3 шт., 280 гр.</t>
  </si>
  <si>
    <t xml:space="preserve">Брускетты с сыровяленой куриной грудкой 3шт, 250 гр</t>
  </si>
  <si>
    <t xml:space="preserve">Чесночные ржаные гренки с соусом Блю чиз, 170/30 гр</t>
  </si>
  <si>
    <t xml:space="preserve">Картофель фри c кетчупом, 150 / 30 гр.</t>
  </si>
  <si>
    <t xml:space="preserve">Начос с 3-мя соусами, 150 / 90 гр.</t>
  </si>
  <si>
    <t xml:space="preserve">Жареный сыр с брусничным соусом, 150 / 30 гр.</t>
  </si>
  <si>
    <t xml:space="preserve">Крылья куриные с томатной сальсой , 250/50 гр.</t>
  </si>
  <si>
    <t xml:space="preserve">Ребра Адама (ребра свиные, картофель, с-с барбекю, чеснок, томатная паста, горчица фр, жидкий дым, аджика, горчичный соус) 250/160/30 гр.</t>
  </si>
  <si>
    <t xml:space="preserve">САЛАТЫ</t>
  </si>
  <si>
    <t xml:space="preserve">Салат "Греческий" (микс салата, огурец, томаты, болгарский перец, маслины, красный лук и греческая заправка, абхазский домашний сыр ), 260 гр.</t>
  </si>
  <si>
    <t xml:space="preserve">Салат "Цезарь" (микс салата, куриное филе, томаты черри, пармезан, чесночные крутоны, соус из анчоусов), 260 гр.</t>
  </si>
  <si>
    <t xml:space="preserve">Салат хрустящий баклажан с цыпленком ,200 гр.</t>
  </si>
  <si>
    <t xml:space="preserve">СУПЫ</t>
  </si>
  <si>
    <t xml:space="preserve">Куриный суп с лапшой (куриный бульон с перепелиным яйцом, куриной грудкой и лапшой), 300 гр.</t>
  </si>
  <si>
    <t xml:space="preserve">СТРИТФУД</t>
  </si>
  <si>
    <t xml:space="preserve">Клаб Сэндвич (обжаренный тостовый хлеб с куриным филе, сыром и свежими овощами, подаётся с картофелем фри и кетчупом), 210 / 100 / 30 гр.</t>
  </si>
  <si>
    <t xml:space="preserve">Big Boos бургер на двоих ( бекон, говяжья котлета, салат, сыр, мармеладный лук, фирменный соус) 550 гр.</t>
  </si>
  <si>
    <t xml:space="preserve">Стрипсы куриные с кисло-сладким соусом ,120/30 гр.</t>
  </si>
  <si>
    <t xml:space="preserve">Фирменный Hot Dog ( ход дог , халапеньо, маринованными огурцами, горчицей) 250 гр.</t>
  </si>
  <si>
    <t xml:space="preserve">ФИШ – ЭНД –ЧИПС( хрустящее рыбное филе , жаренное во фритюре с картофелем фри с соусом тар- тар) 120/100/30 гр.</t>
  </si>
  <si>
    <t xml:space="preserve">Горячие блюда</t>
  </si>
  <si>
    <t xml:space="preserve">Мясо по французски с помидорами ( картофель, мякоть свинины, сыр твердый, помидоры, лук, домашний майонез, оливковое масло, чеснок, соль, перец, пряности, зелень)300/100гр.</t>
  </si>
  <si>
    <t xml:space="preserve">ПИЦЦА 30 СМ ( на тонком тесте)</t>
  </si>
  <si>
    <t xml:space="preserve">Маргарита (томатный соус, моцарелла, гауда), 350 гр.</t>
  </si>
  <si>
    <t xml:space="preserve">Карбонара (бекон, куриное яйцо, моцарелла, гауда, томатный соус), 380 гр.</t>
  </si>
  <si>
    <t xml:space="preserve">Курица Песто (моцарелла, гауда, куриное филе, помидоры черри, томатный соус, песто), 380 гр.</t>
  </si>
  <si>
    <t xml:space="preserve">Пепперони (моцарелла, гауда, томатный соус, пепперони), 380 гр.</t>
  </si>
  <si>
    <t xml:space="preserve">Сытная (моцарелла, гауда, барбекю соус, буженина, куриное филе, бекон, пепперони, корнишоны, лук), 440 гр.</t>
  </si>
  <si>
    <t xml:space="preserve">Груша Дор Блю (моцарелла, гауда, мон блю, сливки, мед, миндаль), 430 гр.</t>
  </si>
  <si>
    <t xml:space="preserve">Прошутто Фунги (моцарелла, гауда, томатный соус, свинина, шампиньоны, орегано) 390 гр.</t>
  </si>
  <si>
    <t xml:space="preserve">Пицца на пышном тесте +150 руб</t>
  </si>
  <si>
    <t xml:space="preserve">ПАСТА</t>
  </si>
  <si>
    <t xml:space="preserve">Карбонара (бекон, куриное яйцо, моцарелла, сливочный соус), 300 гр.</t>
  </si>
  <si>
    <t xml:space="preserve">С курицей и грибами (куриное филе, шампиньоны, сливочный соус), 300 гр.</t>
  </si>
  <si>
    <t xml:space="preserve">Аль помидоро 270 гр.</t>
  </si>
  <si>
    <t xml:space="preserve">WOK</t>
  </si>
  <si>
    <t xml:space="preserve">С курицей, 300 гр.</t>
  </si>
  <si>
    <t xml:space="preserve">Со свининой, 300 гр.</t>
  </si>
  <si>
    <t xml:space="preserve">С овощами , 260 гр.</t>
  </si>
  <si>
    <t xml:space="preserve">ДЕСЕРТЫ в ассортименте (Спрашивайте у официанта)</t>
  </si>
  <si>
    <t xml:space="preserve">-</t>
  </si>
  <si>
    <t xml:space="preserve">Название</t>
  </si>
  <si>
    <t xml:space="preserve">@dropdown</t>
  </si>
  <si>
    <t xml:space="preserve">Хот дог куриный</t>
  </si>
  <si>
    <t xml:space="preserve">Булочка х/д</t>
  </si>
  <si>
    <t xml:space="preserve">сосиска куриная</t>
  </si>
  <si>
    <t xml:space="preserve">соус горчичный</t>
  </si>
  <si>
    <t xml:space="preserve">кетчуп</t>
  </si>
  <si>
    <t xml:space="preserve">жареный лук</t>
  </si>
  <si>
    <t xml:space="preserve">Хот дог мармеладный сыр</t>
  </si>
  <si>
    <t xml:space="preserve">сосиска с сыром</t>
  </si>
  <si>
    <t xml:space="preserve">соус мармеладный лук</t>
  </si>
  <si>
    <t xml:space="preserve">соус фрэнч</t>
  </si>
  <si>
    <t xml:space="preserve">Хот дог спайси</t>
  </si>
  <si>
    <t xml:space="preserve">Сосиска домашнаяя</t>
  </si>
  <si>
    <t xml:space="preserve">соус сладкий чили</t>
  </si>
  <si>
    <t xml:space="preserve">соус релиш</t>
  </si>
  <si>
    <t xml:space="preserve">перец халопеньо</t>
  </si>
  <si>
    <t xml:space="preserve">Run or die</t>
  </si>
  <si>
    <t xml:space="preserve">Liquor raspberry 0,02</t>
  </si>
  <si>
    <t xml:space="preserve">Tonic 0,1</t>
  </si>
  <si>
    <t xml:space="preserve">Hubby</t>
  </si>
  <si>
    <t xml:space="preserve">Gin 0,04</t>
  </si>
  <si>
    <t xml:space="preserve">Liquor melon 0,02</t>
  </si>
  <si>
    <t xml:space="preserve">Syrup 0,01</t>
  </si>
  <si>
    <t xml:space="preserve">Bumblebee</t>
  </si>
  <si>
    <t xml:space="preserve">Liquor peach 0,02</t>
  </si>
  <si>
    <t xml:space="preserve">Sparkling wine 0,06</t>
  </si>
  <si>
    <t xml:space="preserve">FWB</t>
  </si>
  <si>
    <t xml:space="preserve">Rum 0,04</t>
  </si>
  <si>
    <t xml:space="preserve">Martini Fiero 0,03</t>
  </si>
  <si>
    <t xml:space="preserve">Sick day</t>
  </si>
  <si>
    <t xml:space="preserve">Rum 0,03</t>
  </si>
  <si>
    <t xml:space="preserve">Sambuca 0,01</t>
  </si>
  <si>
    <t xml:space="preserve">Liquor advocate 0,01</t>
  </si>
  <si>
    <t xml:space="preserve">Orange juice 0,04</t>
  </si>
  <si>
    <t xml:space="preserve">Horndog</t>
  </si>
  <si>
    <t xml:space="preserve">Whiskey William Lawson's 0,03</t>
  </si>
  <si>
    <t xml:space="preserve">Syrup 0,015</t>
  </si>
  <si>
    <t xml:space="preserve">GPM</t>
  </si>
  <si>
    <t xml:space="preserve">Liquor peach 0,04</t>
  </si>
  <si>
    <t xml:space="preserve">Syrup green melon 0,04</t>
  </si>
  <si>
    <t xml:space="preserve">Что нибудь</t>
  </si>
  <si>
    <t xml:space="preserve">Liquor 0,06</t>
  </si>
  <si>
    <t xml:space="preserve">Syrup 0,04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</si>
</sst>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12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4"/>
      <color rgb="FF000000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trike val="true"/>
      <sz val="8"/>
      <color rgb="FF000000"/>
      <name val="Arial"/>
      <family val="0"/>
      <charset val="1"/>
    </font>
    <font>
      <b val="true"/>
      <strike val="true"/>
      <sz val="11"/>
      <color rgb="FF000000"/>
      <name val="Arial"/>
      <family val="0"/>
      <charset val="1"/>
    </font>
    <font>
      <sz val="9"/>
      <color rgb="FF1155CC"/>
      <name val="&quot;Google Sans Mono&quot;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96969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D9EEB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10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11</v>
      </c>
      <c r="C4" s="6" t="n">
        <v>0.06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12</v>
      </c>
      <c r="C5" s="6" t="n">
        <v>0.01</v>
      </c>
      <c r="D5" s="6" t="n">
        <v>480</v>
      </c>
      <c r="E5" s="7" t="n">
        <f aca="false">D5*C5</f>
        <v>4.8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13</v>
      </c>
      <c r="C6" s="6" t="n">
        <v>0.02</v>
      </c>
      <c r="D6" s="6" t="e">
        <f aca="false">#REF!</f>
        <v>#REF!</v>
      </c>
      <c r="E6" s="7" t="e">
        <f aca="false">D6*C6</f>
        <v>#REF!</v>
      </c>
      <c r="F6" s="8"/>
      <c r="G6" s="8"/>
      <c r="H6" s="8"/>
    </row>
    <row r="7" customFormat="false" ht="15.75" hidden="false" customHeight="false" outlineLevel="0" collapsed="false">
      <c r="A7" s="4"/>
      <c r="B7" s="5" t="s">
        <v>14</v>
      </c>
      <c r="C7" s="6" t="n">
        <v>0.02</v>
      </c>
      <c r="D7" s="6" t="e">
        <f aca="false">#REF!</f>
        <v>#REF!</v>
      </c>
      <c r="E7" s="7" t="e">
        <f aca="false">D7*C7</f>
        <v>#REF!</v>
      </c>
      <c r="F7" s="8"/>
      <c r="G7" s="8"/>
      <c r="H7" s="8"/>
    </row>
    <row r="8" customFormat="false" ht="15.75" hidden="false" customHeight="false" outlineLevel="0" collapsed="false">
      <c r="A8" s="4"/>
      <c r="B8" s="5" t="s">
        <v>15</v>
      </c>
      <c r="C8" s="6" t="n">
        <v>0.06</v>
      </c>
      <c r="D8" s="6" t="e">
        <f aca="false">#REF!</f>
        <v>#REF!</v>
      </c>
      <c r="E8" s="7" t="e">
        <f aca="false">D8*C8</f>
        <v>#REF!</v>
      </c>
      <c r="F8" s="8"/>
      <c r="G8" s="8"/>
      <c r="H8" s="8"/>
    </row>
    <row r="9" customFormat="false" ht="15.75" hidden="false" customHeight="false" outlineLevel="0" collapsed="false">
      <c r="A9" s="4" t="s">
        <v>16</v>
      </c>
      <c r="B9" s="5" t="s">
        <v>17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700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18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5" t="s">
        <v>19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20</v>
      </c>
      <c r="C12" s="6" t="n">
        <v>0.04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21</v>
      </c>
      <c r="C13" s="6" t="n">
        <v>0.08</v>
      </c>
      <c r="D13" s="6" t="e">
        <f aca="false">#REF!</f>
        <v>#REF!</v>
      </c>
      <c r="E13" s="7" t="e">
        <f aca="false">D13*C13</f>
        <v>#REF!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22</v>
      </c>
      <c r="B15" s="5" t="s">
        <v>23</v>
      </c>
      <c r="C15" s="6" t="n">
        <v>0.06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1100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24</v>
      </c>
      <c r="C16" s="6" t="n">
        <v>0.04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25</v>
      </c>
      <c r="C17" s="6" t="n">
        <v>0.06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26</v>
      </c>
      <c r="C18" s="6" t="n">
        <v>0.03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/>
      <c r="C19" s="6"/>
      <c r="D19" s="6"/>
      <c r="E19" s="7" t="n">
        <f aca="false">D19*C19</f>
        <v>0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27</v>
      </c>
      <c r="B21" s="5" t="s">
        <v>28</v>
      </c>
      <c r="C21" s="6" t="n">
        <v>0.06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1100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29</v>
      </c>
      <c r="C22" s="6" t="n">
        <v>0.06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30</v>
      </c>
      <c r="C23" s="6" t="n">
        <v>0.04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/>
      <c r="C24" s="6"/>
      <c r="D24" s="6"/>
      <c r="E24" s="7" t="n">
        <f aca="false">D24*C24</f>
        <v>0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/>
      <c r="B27" s="5"/>
      <c r="C27" s="6"/>
      <c r="D27" s="6"/>
      <c r="E27" s="7" t="n">
        <f aca="false">D27*C27</f>
        <v>0</v>
      </c>
      <c r="F27" s="8" t="n">
        <f aca="false">SUM(E27:E32)</f>
        <v>0</v>
      </c>
      <c r="G27" s="8"/>
      <c r="H27" s="9" t="e">
        <f aca="false">(G27-F27)/F27*100</f>
        <v>#DIV/0!</v>
      </c>
    </row>
    <row r="28" customFormat="false" ht="15.75" hidden="false" customHeight="false" outlineLevel="0" collapsed="false">
      <c r="A28" s="4"/>
      <c r="B28" s="5"/>
      <c r="C28" s="6"/>
      <c r="D28" s="6"/>
      <c r="E28" s="7" t="n">
        <f aca="false">D28*C28</f>
        <v>0</v>
      </c>
      <c r="F28" s="8"/>
      <c r="G28" s="8"/>
      <c r="H28" s="8"/>
    </row>
    <row r="29" customFormat="false" ht="15.75" hidden="false" customHeight="false" outlineLevel="0" collapsed="false">
      <c r="A29" s="4"/>
      <c r="B29" s="5"/>
      <c r="C29" s="6"/>
      <c r="D29" s="6"/>
      <c r="E29" s="7" t="n">
        <f aca="false">D29*C29</f>
        <v>0</v>
      </c>
      <c r="F29" s="8"/>
      <c r="G29" s="8"/>
      <c r="H29" s="8"/>
    </row>
    <row r="30" customFormat="false" ht="15.75" hidden="false" customHeight="false" outlineLevel="0" collapsed="false">
      <c r="A30" s="4"/>
      <c r="B30" s="5"/>
      <c r="C30" s="6"/>
      <c r="D30" s="6"/>
      <c r="E30" s="7" t="n">
        <f aca="false">D30*C30</f>
        <v>0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 t="n">
        <f aca="false">SUM(E33:E38)</f>
        <v>0</v>
      </c>
      <c r="G33" s="8"/>
      <c r="H33" s="9" t="e">
        <f aca="false">(G33-F33)/F33*100</f>
        <v>#DIV/0!</v>
      </c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31</v>
      </c>
      <c r="B2" s="5" t="s">
        <v>32</v>
      </c>
      <c r="C2" s="6" t="n">
        <v>40</v>
      </c>
      <c r="D2" s="6" t="e">
        <f aca="false">#REF!</f>
        <v>#REF!</v>
      </c>
      <c r="E2" s="7" t="e">
        <f aca="false">D2/1000*C2</f>
        <v>#REF!</v>
      </c>
      <c r="F2" s="9" t="e">
        <f aca="false">SUM(E2:E7)</f>
        <v>#REF!</v>
      </c>
      <c r="G2" s="9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33</v>
      </c>
      <c r="C3" s="6" t="n">
        <v>20</v>
      </c>
      <c r="D3" s="6" t="e">
        <f aca="false">#REF!</f>
        <v>#REF!</v>
      </c>
      <c r="E3" s="7" t="e">
        <f aca="false">D3/1000*C3</f>
        <v>#REF!</v>
      </c>
      <c r="F3" s="9"/>
      <c r="G3" s="9"/>
      <c r="H3" s="9"/>
    </row>
    <row r="4" customFormat="false" ht="15.75" hidden="false" customHeight="false" outlineLevel="0" collapsed="false">
      <c r="A4" s="4"/>
      <c r="B4" s="5" t="s">
        <v>34</v>
      </c>
      <c r="C4" s="6" t="n">
        <v>20</v>
      </c>
      <c r="D4" s="6" t="e">
        <f aca="false">#REF!</f>
        <v>#REF!</v>
      </c>
      <c r="E4" s="7" t="e">
        <f aca="false">D4/1000*C4</f>
        <v>#REF!</v>
      </c>
      <c r="F4" s="9"/>
      <c r="G4" s="9"/>
      <c r="H4" s="9"/>
    </row>
    <row r="5" customFormat="false" ht="15.75" hidden="false" customHeight="false" outlineLevel="0" collapsed="false">
      <c r="A5" s="4"/>
      <c r="B5" s="5" t="s">
        <v>35</v>
      </c>
      <c r="C5" s="6" t="n">
        <v>20</v>
      </c>
      <c r="D5" s="6" t="e">
        <f aca="false">#REF!</f>
        <v>#REF!</v>
      </c>
      <c r="E5" s="7" t="e">
        <f aca="false">D5/1000*C5</f>
        <v>#REF!</v>
      </c>
      <c r="F5" s="9"/>
      <c r="G5" s="9"/>
      <c r="H5" s="9"/>
    </row>
    <row r="6" customFormat="false" ht="15.75" hidden="false" customHeight="false" outlineLevel="0" collapsed="false">
      <c r="A6" s="4"/>
      <c r="B6" s="5" t="s">
        <v>36</v>
      </c>
      <c r="C6" s="6" t="n">
        <v>25</v>
      </c>
      <c r="D6" s="6" t="e">
        <f aca="false">#REF!</f>
        <v>#REF!</v>
      </c>
      <c r="E6" s="7" t="e">
        <f aca="false">D6/1000*C6</f>
        <v>#REF!</v>
      </c>
      <c r="F6" s="9"/>
      <c r="G6" s="9"/>
      <c r="H6" s="9"/>
    </row>
    <row r="7" customFormat="false" ht="15.75" hidden="false" customHeight="false" outlineLevel="0" collapsed="false">
      <c r="A7" s="4"/>
      <c r="B7" s="5" t="s">
        <v>37</v>
      </c>
      <c r="C7" s="6"/>
      <c r="D7" s="6"/>
      <c r="E7" s="7" t="n">
        <v>5</v>
      </c>
      <c r="F7" s="9"/>
      <c r="G7" s="9"/>
      <c r="H7" s="9"/>
    </row>
    <row r="8" customFormat="false" ht="15.75" hidden="false" customHeight="false" outlineLevel="0" collapsed="false">
      <c r="A8" s="4" t="s">
        <v>38</v>
      </c>
      <c r="B8" s="5" t="s">
        <v>32</v>
      </c>
      <c r="C8" s="6" t="n">
        <v>40</v>
      </c>
      <c r="D8" s="6" t="e">
        <f aca="false">#REF!</f>
        <v>#REF!</v>
      </c>
      <c r="E8" s="7" t="e">
        <f aca="false">D8/1000*C8</f>
        <v>#REF!</v>
      </c>
      <c r="F8" s="9"/>
      <c r="G8" s="9"/>
      <c r="H8" s="9"/>
    </row>
    <row r="9" customFormat="false" ht="15.75" hidden="false" customHeight="false" outlineLevel="0" collapsed="false">
      <c r="A9" s="4"/>
      <c r="B9" s="5" t="s">
        <v>39</v>
      </c>
      <c r="C9" s="6" t="n">
        <v>20</v>
      </c>
      <c r="D9" s="6" t="e">
        <f aca="false">#REF!</f>
        <v>#REF!</v>
      </c>
      <c r="E9" s="7" t="e">
        <f aca="false">D9/1000*C9</f>
        <v>#REF!</v>
      </c>
      <c r="F9" s="15" t="e">
        <f aca="false">SUM(E8:E15)</f>
        <v>#REF!</v>
      </c>
      <c r="G9" s="9" t="n">
        <v>700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40</v>
      </c>
      <c r="C10" s="6" t="n">
        <v>10</v>
      </c>
      <c r="D10" s="6" t="e">
        <f aca="false">#REF!</f>
        <v>#REF!</v>
      </c>
      <c r="E10" s="7" t="e">
        <f aca="false">D10/1000*C10</f>
        <v>#REF!</v>
      </c>
      <c r="F10" s="15"/>
      <c r="G10" s="15"/>
      <c r="H10" s="15"/>
    </row>
    <row r="11" customFormat="false" ht="15.75" hidden="false" customHeight="false" outlineLevel="0" collapsed="false">
      <c r="A11" s="4"/>
      <c r="B11" s="5" t="s">
        <v>41</v>
      </c>
      <c r="C11" s="6" t="n">
        <v>15</v>
      </c>
      <c r="D11" s="6" t="e">
        <f aca="false">#REF!</f>
        <v>#REF!</v>
      </c>
      <c r="E11" s="7" t="e">
        <f aca="false">D11/1000*C11</f>
        <v>#REF!</v>
      </c>
      <c r="F11" s="15"/>
      <c r="G11" s="15"/>
      <c r="H11" s="15"/>
    </row>
    <row r="12" customFormat="false" ht="15.75" hidden="false" customHeight="false" outlineLevel="0" collapsed="false">
      <c r="A12" s="4"/>
      <c r="B12" s="5" t="s">
        <v>42</v>
      </c>
      <c r="C12" s="6" t="n">
        <v>30</v>
      </c>
      <c r="D12" s="6" t="e">
        <f aca="false">#REF!</f>
        <v>#REF!</v>
      </c>
      <c r="E12" s="7" t="e">
        <f aca="false">D12/1000*C12</f>
        <v>#REF!</v>
      </c>
      <c r="F12" s="15"/>
      <c r="G12" s="15"/>
      <c r="H12" s="15"/>
    </row>
    <row r="13" customFormat="false" ht="15.75" hidden="false" customHeight="false" outlineLevel="0" collapsed="false">
      <c r="A13" s="4"/>
      <c r="B13" s="5" t="s">
        <v>43</v>
      </c>
      <c r="C13" s="6" t="n">
        <v>50</v>
      </c>
      <c r="D13" s="6" t="e">
        <f aca="false">#REF!</f>
        <v>#REF!</v>
      </c>
      <c r="E13" s="7" t="e">
        <f aca="false">D13/1000*C13</f>
        <v>#REF!</v>
      </c>
      <c r="F13" s="15"/>
      <c r="G13" s="15"/>
      <c r="H13" s="15"/>
    </row>
    <row r="14" customFormat="false" ht="15.75" hidden="false" customHeight="false" outlineLevel="0" collapsed="false">
      <c r="A14" s="4"/>
      <c r="B14" s="5" t="s">
        <v>44</v>
      </c>
      <c r="C14" s="6" t="n">
        <v>50</v>
      </c>
      <c r="D14" s="6" t="e">
        <f aca="false">#REF!</f>
        <v>#REF!</v>
      </c>
      <c r="E14" s="7" t="e">
        <f aca="false">D14/1000*C14</f>
        <v>#REF!</v>
      </c>
      <c r="F14" s="15"/>
      <c r="G14" s="15"/>
      <c r="H14" s="15"/>
    </row>
    <row r="15" customFormat="false" ht="15.75" hidden="false" customHeight="false" outlineLevel="0" collapsed="false">
      <c r="A15" s="4"/>
      <c r="B15" s="5" t="s">
        <v>37</v>
      </c>
      <c r="C15" s="6"/>
      <c r="D15" s="6"/>
      <c r="E15" s="7" t="n">
        <v>5</v>
      </c>
      <c r="F15" s="15"/>
      <c r="G15" s="15"/>
      <c r="H15" s="15"/>
    </row>
    <row r="16" customFormat="false" ht="15.75" hidden="false" customHeight="false" outlineLevel="0" collapsed="false">
      <c r="A16" s="4" t="s">
        <v>45</v>
      </c>
      <c r="B16" s="5" t="s">
        <v>46</v>
      </c>
      <c r="C16" s="6" t="n">
        <v>20</v>
      </c>
      <c r="D16" s="6" t="e">
        <f aca="false">#REF!</f>
        <v>#REF!</v>
      </c>
      <c r="E16" s="7" t="e">
        <f aca="false">D16/1000*C16</f>
        <v>#REF!</v>
      </c>
      <c r="F16" s="15" t="e">
        <f aca="false">SUM(E16:E21)</f>
        <v>#REF!</v>
      </c>
      <c r="G16" s="9" t="n">
        <v>700</v>
      </c>
      <c r="H16" s="9" t="e">
        <f aca="false">(G16-F16)/F16*100</f>
        <v>#REF!</v>
      </c>
    </row>
    <row r="17" customFormat="false" ht="15.75" hidden="false" customHeight="false" outlineLevel="0" collapsed="false">
      <c r="A17" s="4"/>
      <c r="B17" s="5" t="s">
        <v>47</v>
      </c>
      <c r="C17" s="6" t="n">
        <v>20</v>
      </c>
      <c r="D17" s="6" t="e">
        <f aca="false">#REF!</f>
        <v>#REF!</v>
      </c>
      <c r="E17" s="7" t="e">
        <f aca="false">D17/1000*C17</f>
        <v>#REF!</v>
      </c>
      <c r="F17" s="15"/>
      <c r="G17" s="15"/>
      <c r="H17" s="15"/>
    </row>
    <row r="18" customFormat="false" ht="15.75" hidden="false" customHeight="false" outlineLevel="0" collapsed="false">
      <c r="A18" s="4"/>
      <c r="B18" s="5" t="s">
        <v>48</v>
      </c>
      <c r="C18" s="6" t="n">
        <v>20</v>
      </c>
      <c r="D18" s="6" t="e">
        <f aca="false">#REF!</f>
        <v>#REF!</v>
      </c>
      <c r="E18" s="7" t="e">
        <f aca="false">D18/1000*C18</f>
        <v>#REF!</v>
      </c>
      <c r="F18" s="15"/>
      <c r="G18" s="15"/>
      <c r="H18" s="15"/>
    </row>
    <row r="19" customFormat="false" ht="15.75" hidden="false" customHeight="false" outlineLevel="0" collapsed="false">
      <c r="A19" s="4"/>
      <c r="B19" s="5" t="s">
        <v>49</v>
      </c>
      <c r="C19" s="6" t="n">
        <v>20</v>
      </c>
      <c r="D19" s="6" t="n">
        <v>250</v>
      </c>
      <c r="E19" s="7" t="n">
        <f aca="false">D19/1000*C19</f>
        <v>5</v>
      </c>
      <c r="F19" s="15"/>
      <c r="G19" s="15"/>
      <c r="H19" s="15"/>
    </row>
    <row r="20" customFormat="false" ht="15.75" hidden="false" customHeight="false" outlineLevel="0" collapsed="false">
      <c r="A20" s="4"/>
      <c r="B20" s="5" t="s">
        <v>50</v>
      </c>
      <c r="C20" s="6" t="n">
        <v>20</v>
      </c>
      <c r="D20" s="6" t="e">
        <f aca="false">#REF!</f>
        <v>#REF!</v>
      </c>
      <c r="E20" s="7" t="e">
        <f aca="false">D20/1000*C20</f>
        <v>#REF!</v>
      </c>
      <c r="F20" s="15"/>
      <c r="G20" s="15"/>
      <c r="H20" s="15"/>
    </row>
    <row r="21" customFormat="false" ht="15.75" hidden="false" customHeight="false" outlineLevel="0" collapsed="false">
      <c r="A21" s="4"/>
      <c r="B21" s="5" t="s">
        <v>37</v>
      </c>
      <c r="C21" s="6"/>
      <c r="D21" s="6" t="n">
        <v>5</v>
      </c>
      <c r="E21" s="7" t="n">
        <v>5</v>
      </c>
      <c r="F21" s="15"/>
      <c r="G21" s="15"/>
      <c r="H21" s="15"/>
    </row>
    <row r="22" customFormat="false" ht="15.75" hidden="false" customHeight="false" outlineLevel="0" collapsed="false">
      <c r="A22" s="16"/>
      <c r="B22" s="16"/>
      <c r="C22" s="6"/>
      <c r="D22" s="6"/>
      <c r="E22" s="7"/>
      <c r="F22" s="6"/>
      <c r="G22" s="6"/>
      <c r="H22" s="6"/>
    </row>
    <row r="23" customFormat="false" ht="15.75" hidden="false" customHeight="false" outlineLevel="0" collapsed="false">
      <c r="A23" s="3" t="s">
        <v>51</v>
      </c>
      <c r="B23" s="3"/>
      <c r="C23" s="3"/>
      <c r="D23" s="6"/>
      <c r="E23" s="7"/>
      <c r="F23" s="6"/>
      <c r="G23" s="6"/>
      <c r="H23" s="6"/>
    </row>
    <row r="24" customFormat="false" ht="15.75" hidden="false" customHeight="false" outlineLevel="0" collapsed="false">
      <c r="A24" s="17" t="s">
        <v>52</v>
      </c>
      <c r="B24" s="5" t="s">
        <v>32</v>
      </c>
      <c r="C24" s="6" t="n">
        <v>40</v>
      </c>
      <c r="D24" s="6" t="e">
        <f aca="false">#REF!</f>
        <v>#REF!</v>
      </c>
      <c r="E24" s="7" t="e">
        <f aca="false">D24/1000*C24</f>
        <v>#REF!</v>
      </c>
      <c r="F24" s="15" t="e">
        <f aca="false">SUM(E24:E26)</f>
        <v>#REF!</v>
      </c>
      <c r="G24" s="18" t="n">
        <v>1000</v>
      </c>
      <c r="H24" s="18" t="e">
        <f aca="false">(G24-F24)/F24*100</f>
        <v>#REF!</v>
      </c>
    </row>
    <row r="25" customFormat="false" ht="15.75" hidden="false" customHeight="false" outlineLevel="0" collapsed="false">
      <c r="A25" s="19"/>
      <c r="B25" s="5" t="s">
        <v>53</v>
      </c>
      <c r="C25" s="6" t="n">
        <v>80</v>
      </c>
      <c r="D25" s="6" t="n">
        <v>250</v>
      </c>
      <c r="E25" s="7" t="n">
        <f aca="false">D25/1000*C25</f>
        <v>20</v>
      </c>
      <c r="F25" s="15"/>
      <c r="G25" s="15"/>
      <c r="H25" s="15"/>
    </row>
    <row r="26" customFormat="false" ht="15.75" hidden="false" customHeight="false" outlineLevel="0" collapsed="false">
      <c r="A26" s="19"/>
      <c r="B26" s="5" t="s">
        <v>54</v>
      </c>
      <c r="C26" s="6" t="n">
        <v>40</v>
      </c>
      <c r="D26" s="6" t="e">
        <f aca="false">#REF!</f>
        <v>#REF!</v>
      </c>
      <c r="E26" s="7" t="e">
        <f aca="false">D26/1000*C26</f>
        <v>#REF!</v>
      </c>
      <c r="F26" s="15"/>
      <c r="G26" s="15"/>
      <c r="H26" s="15"/>
    </row>
    <row r="27" customFormat="false" ht="15.75" hidden="false" customHeight="false" outlineLevel="0" collapsed="false">
      <c r="A27" s="4"/>
      <c r="B27" s="5" t="s">
        <v>55</v>
      </c>
      <c r="C27" s="14" t="n">
        <v>40</v>
      </c>
      <c r="D27" s="14" t="e">
        <f aca="false">#REF!</f>
        <v>#REF!</v>
      </c>
      <c r="E27" s="7" t="e">
        <f aca="false">D27/1000*C27</f>
        <v>#REF!</v>
      </c>
      <c r="F27" s="15"/>
      <c r="G27" s="15"/>
      <c r="H27" s="15"/>
    </row>
    <row r="28" customFormat="false" ht="15.75" hidden="false" customHeight="false" outlineLevel="0" collapsed="false">
      <c r="C28" s="14"/>
      <c r="D28" s="14"/>
      <c r="E28" s="14"/>
      <c r="F28" s="14"/>
      <c r="G28" s="14"/>
      <c r="H28" s="14"/>
    </row>
    <row r="29" customFormat="false" ht="15.75" hidden="false" customHeight="false" outlineLevel="0" collapsed="false">
      <c r="C29" s="14"/>
      <c r="D29" s="14"/>
      <c r="E29" s="14"/>
      <c r="F29" s="14"/>
      <c r="G29" s="14"/>
      <c r="H29" s="14"/>
    </row>
    <row r="30" customFormat="false" ht="15.75" hidden="false" customHeight="false" outlineLevel="0" collapsed="false">
      <c r="C30" s="14"/>
      <c r="D30" s="14"/>
      <c r="E30" s="14"/>
      <c r="F30" s="14"/>
      <c r="G30" s="14"/>
      <c r="H30" s="14"/>
    </row>
    <row r="31" customFormat="false" ht="15.75" hidden="false" customHeight="false" outlineLevel="0" collapsed="false">
      <c r="C31" s="14"/>
      <c r="D31" s="14"/>
      <c r="E31" s="14"/>
      <c r="F31" s="14"/>
      <c r="G31" s="14"/>
      <c r="H31" s="14"/>
    </row>
    <row r="32" customFormat="false" ht="15.75" hidden="false" customHeight="false" outlineLevel="0" collapsed="false">
      <c r="C32" s="14"/>
      <c r="D32" s="14"/>
      <c r="E32" s="14"/>
      <c r="F32" s="14"/>
      <c r="G32" s="14"/>
      <c r="H32" s="14"/>
    </row>
    <row r="33" customFormat="false" ht="15.75" hidden="false" customHeight="false" outlineLevel="0" collapsed="false">
      <c r="C33" s="14"/>
      <c r="D33" s="14"/>
      <c r="E33" s="14"/>
      <c r="F33" s="14"/>
      <c r="G33" s="14"/>
      <c r="H33" s="14"/>
    </row>
    <row r="34" customFormat="false" ht="15.75" hidden="false" customHeight="false" outlineLevel="0" collapsed="false">
      <c r="C34" s="14"/>
      <c r="D34" s="14"/>
      <c r="E34" s="14"/>
      <c r="F34" s="14"/>
      <c r="G34" s="14"/>
      <c r="H34" s="14"/>
    </row>
    <row r="35" customFormat="false" ht="15.75" hidden="false" customHeight="false" outlineLevel="0" collapsed="false">
      <c r="C35" s="14"/>
      <c r="D35" s="14"/>
      <c r="E35" s="14"/>
      <c r="F35" s="14"/>
      <c r="G35" s="14"/>
      <c r="H35" s="14"/>
    </row>
    <row r="36" customFormat="false" ht="15.75" hidden="false" customHeight="false" outlineLevel="0" collapsed="false">
      <c r="C36" s="14"/>
      <c r="D36" s="14"/>
      <c r="E36" s="14"/>
      <c r="F36" s="14"/>
      <c r="G36" s="14"/>
      <c r="H36" s="14"/>
    </row>
    <row r="37" customFormat="false" ht="15.75" hidden="false" customHeight="false" outlineLevel="0" collapsed="false">
      <c r="C37" s="14"/>
      <c r="D37" s="14"/>
      <c r="E37" s="14"/>
      <c r="F37" s="14"/>
      <c r="G37" s="14"/>
      <c r="H37" s="14"/>
    </row>
    <row r="38" customFormat="false" ht="15.75" hidden="false" customHeight="false" outlineLevel="0" collapsed="false">
      <c r="C38" s="14"/>
      <c r="D38" s="14"/>
      <c r="E38" s="14"/>
      <c r="F38" s="14"/>
      <c r="G38" s="14"/>
      <c r="H38" s="14"/>
    </row>
    <row r="39" customFormat="false" ht="15.75" hidden="false" customHeight="false" outlineLevel="0" collapsed="false">
      <c r="C39" s="14"/>
      <c r="D39" s="14"/>
      <c r="E39" s="14"/>
      <c r="F39" s="14"/>
      <c r="G39" s="14"/>
      <c r="H39" s="14"/>
    </row>
    <row r="40" customFormat="false" ht="15.75" hidden="false" customHeight="false" outlineLevel="0" collapsed="false">
      <c r="C40" s="14"/>
      <c r="D40" s="14"/>
      <c r="E40" s="14"/>
      <c r="F40" s="14"/>
      <c r="G40" s="14"/>
      <c r="H40" s="14"/>
    </row>
    <row r="41" customFormat="false" ht="15.75" hidden="false" customHeight="false" outlineLevel="0" collapsed="false">
      <c r="C41" s="14"/>
      <c r="D41" s="14"/>
      <c r="E41" s="14"/>
      <c r="F41" s="14"/>
      <c r="G41" s="14"/>
      <c r="H41" s="14"/>
    </row>
    <row r="42" customFormat="false" ht="15.75" hidden="false" customHeight="false" outlineLevel="0" collapsed="false">
      <c r="C42" s="14"/>
      <c r="D42" s="14"/>
      <c r="E42" s="14"/>
      <c r="F42" s="14"/>
      <c r="G42" s="14"/>
      <c r="H42" s="14"/>
    </row>
    <row r="43" customFormat="false" ht="15.75" hidden="false" customHeight="false" outlineLevel="0" collapsed="false">
      <c r="C43" s="14"/>
      <c r="D43" s="14"/>
      <c r="E43" s="14"/>
      <c r="F43" s="14"/>
      <c r="G43" s="14"/>
      <c r="H43" s="14"/>
    </row>
    <row r="44" customFormat="false" ht="15.75" hidden="false" customHeight="false" outlineLevel="0" collapsed="false">
      <c r="C44" s="14"/>
      <c r="D44" s="14"/>
      <c r="E44" s="14"/>
      <c r="F44" s="14"/>
      <c r="G44" s="14"/>
      <c r="H44" s="14"/>
    </row>
    <row r="45" customFormat="false" ht="15.75" hidden="false" customHeight="false" outlineLevel="0" collapsed="false">
      <c r="C45" s="14"/>
      <c r="D45" s="14"/>
      <c r="E45" s="14"/>
      <c r="F45" s="14"/>
      <c r="G45" s="14"/>
      <c r="H45" s="14"/>
    </row>
    <row r="46" customFormat="false" ht="15.75" hidden="false" customHeight="false" outlineLevel="0" collapsed="false">
      <c r="C46" s="14"/>
      <c r="D46" s="14"/>
      <c r="E46" s="14"/>
      <c r="F46" s="14"/>
      <c r="G46" s="14"/>
      <c r="H46" s="14"/>
    </row>
    <row r="47" customFormat="false" ht="15.75" hidden="false" customHeight="false" outlineLevel="0" collapsed="false">
      <c r="C47" s="14"/>
      <c r="D47" s="14"/>
      <c r="E47" s="14"/>
      <c r="F47" s="14"/>
      <c r="G47" s="14"/>
      <c r="H47" s="14"/>
    </row>
    <row r="48" customFormat="false" ht="15.75" hidden="false" customHeight="false" outlineLevel="0" collapsed="false">
      <c r="C48" s="14"/>
      <c r="D48" s="14"/>
      <c r="E48" s="14"/>
      <c r="F48" s="14"/>
      <c r="G48" s="14"/>
      <c r="H48" s="14"/>
    </row>
    <row r="49" customFormat="false" ht="15.75" hidden="false" customHeight="false" outlineLevel="0" collapsed="false">
      <c r="C49" s="14"/>
      <c r="D49" s="14"/>
      <c r="E49" s="14"/>
      <c r="F49" s="14"/>
      <c r="G49" s="14"/>
      <c r="H49" s="14"/>
    </row>
    <row r="50" customFormat="false" ht="15.75" hidden="false" customHeight="false" outlineLevel="0" collapsed="false">
      <c r="C50" s="14"/>
      <c r="D50" s="14"/>
      <c r="E50" s="14"/>
      <c r="F50" s="14"/>
      <c r="G50" s="14"/>
      <c r="H50" s="14"/>
    </row>
    <row r="51" customFormat="false" ht="15.75" hidden="false" customHeight="false" outlineLevel="0" collapsed="false">
      <c r="C51" s="14"/>
      <c r="D51" s="14"/>
      <c r="E51" s="14"/>
      <c r="F51" s="14"/>
      <c r="G51" s="14"/>
      <c r="H51" s="14"/>
    </row>
    <row r="52" customFormat="false" ht="15.75" hidden="false" customHeight="false" outlineLevel="0" collapsed="false">
      <c r="C52" s="14"/>
      <c r="D52" s="14"/>
      <c r="E52" s="14"/>
      <c r="F52" s="14"/>
      <c r="G52" s="14"/>
      <c r="H52" s="14"/>
    </row>
    <row r="53" customFormat="false" ht="15.75" hidden="false" customHeight="false" outlineLevel="0" collapsed="false">
      <c r="C53" s="14"/>
      <c r="D53" s="14"/>
      <c r="E53" s="14"/>
      <c r="F53" s="14"/>
      <c r="G53" s="14"/>
      <c r="H53" s="14"/>
    </row>
    <row r="54" customFormat="false" ht="15.75" hidden="false" customHeight="false" outlineLevel="0" collapsed="false">
      <c r="C54" s="14"/>
      <c r="D54" s="14"/>
      <c r="E54" s="14"/>
      <c r="F54" s="14"/>
      <c r="G54" s="14"/>
      <c r="H54" s="14"/>
    </row>
    <row r="55" customFormat="false" ht="15.75" hidden="false" customHeight="false" outlineLevel="0" collapsed="false">
      <c r="C55" s="14"/>
      <c r="D55" s="14"/>
      <c r="E55" s="14"/>
      <c r="F55" s="14"/>
      <c r="G55" s="14"/>
      <c r="H55" s="14"/>
    </row>
    <row r="56" customFormat="false" ht="15.75" hidden="false" customHeight="false" outlineLevel="0" collapsed="false">
      <c r="C56" s="14"/>
      <c r="D56" s="14"/>
      <c r="E56" s="14"/>
      <c r="F56" s="14"/>
      <c r="G56" s="14"/>
      <c r="H56" s="14"/>
    </row>
    <row r="57" customFormat="false" ht="15.75" hidden="false" customHeight="false" outlineLevel="0" collapsed="false">
      <c r="C57" s="14"/>
      <c r="D57" s="14"/>
      <c r="E57" s="14"/>
      <c r="F57" s="14"/>
      <c r="G57" s="14"/>
      <c r="H57" s="14"/>
    </row>
    <row r="58" customFormat="false" ht="15.75" hidden="false" customHeight="false" outlineLevel="0" collapsed="false">
      <c r="C58" s="14"/>
      <c r="D58" s="14"/>
      <c r="E58" s="14"/>
      <c r="F58" s="14"/>
      <c r="G58" s="14"/>
      <c r="H58" s="14"/>
    </row>
    <row r="59" customFormat="false" ht="15.75" hidden="false" customHeight="false" outlineLevel="0" collapsed="false">
      <c r="C59" s="14"/>
      <c r="D59" s="14"/>
      <c r="E59" s="14"/>
      <c r="F59" s="14"/>
      <c r="G59" s="14"/>
      <c r="H59" s="14"/>
    </row>
    <row r="60" customFormat="false" ht="15.75" hidden="false" customHeight="false" outlineLevel="0" collapsed="false">
      <c r="C60" s="14"/>
      <c r="D60" s="14"/>
      <c r="E60" s="14"/>
      <c r="F60" s="14"/>
      <c r="G60" s="14"/>
      <c r="H60" s="14"/>
    </row>
    <row r="61" customFormat="false" ht="15.75" hidden="false" customHeight="false" outlineLevel="0" collapsed="false">
      <c r="C61" s="14"/>
      <c r="D61" s="14"/>
      <c r="E61" s="14"/>
      <c r="F61" s="14"/>
      <c r="G61" s="14"/>
      <c r="H61" s="14"/>
    </row>
    <row r="62" customFormat="false" ht="15.75" hidden="false" customHeight="false" outlineLevel="0" collapsed="false">
      <c r="C62" s="14"/>
      <c r="D62" s="14"/>
      <c r="E62" s="14"/>
      <c r="F62" s="14"/>
      <c r="G62" s="14"/>
      <c r="H62" s="14"/>
    </row>
    <row r="63" customFormat="false" ht="15.75" hidden="false" customHeight="false" outlineLevel="0" collapsed="false">
      <c r="C63" s="14"/>
      <c r="D63" s="14"/>
      <c r="E63" s="14"/>
      <c r="F63" s="14"/>
      <c r="G63" s="14"/>
      <c r="H63" s="14"/>
    </row>
    <row r="64" customFormat="false" ht="15.75" hidden="false" customHeight="false" outlineLevel="0" collapsed="false">
      <c r="C64" s="14"/>
      <c r="D64" s="14"/>
      <c r="E64" s="14"/>
      <c r="F64" s="14"/>
      <c r="G64" s="14"/>
      <c r="H64" s="14"/>
    </row>
    <row r="65" customFormat="false" ht="15.75" hidden="false" customHeight="false" outlineLevel="0" collapsed="false">
      <c r="C65" s="14"/>
      <c r="D65" s="14"/>
      <c r="E65" s="14"/>
      <c r="F65" s="14"/>
      <c r="G65" s="14"/>
      <c r="H65" s="14"/>
    </row>
    <row r="66" customFormat="false" ht="15.75" hidden="false" customHeight="false" outlineLevel="0" collapsed="false">
      <c r="C66" s="14"/>
      <c r="D66" s="14"/>
      <c r="E66" s="14"/>
      <c r="F66" s="14"/>
      <c r="G66" s="14"/>
      <c r="H66" s="14"/>
    </row>
    <row r="67" customFormat="false" ht="15.75" hidden="false" customHeight="false" outlineLevel="0" collapsed="false">
      <c r="C67" s="14"/>
      <c r="D67" s="14"/>
      <c r="E67" s="14"/>
      <c r="F67" s="14"/>
      <c r="G67" s="14"/>
      <c r="H67" s="14"/>
    </row>
    <row r="68" customFormat="false" ht="15.75" hidden="false" customHeight="false" outlineLevel="0" collapsed="false">
      <c r="C68" s="14"/>
      <c r="D68" s="14"/>
      <c r="E68" s="14"/>
      <c r="F68" s="14"/>
      <c r="G68" s="14"/>
      <c r="H68" s="14"/>
    </row>
    <row r="69" customFormat="false" ht="15.75" hidden="false" customHeight="false" outlineLevel="0" collapsed="false">
      <c r="C69" s="14"/>
      <c r="D69" s="14"/>
      <c r="E69" s="14"/>
      <c r="F69" s="14"/>
      <c r="G69" s="14"/>
      <c r="H69" s="14"/>
    </row>
    <row r="70" customFormat="false" ht="15.75" hidden="false" customHeight="false" outlineLevel="0" collapsed="false">
      <c r="C70" s="14"/>
      <c r="D70" s="14"/>
      <c r="E70" s="14"/>
      <c r="F70" s="14"/>
      <c r="G70" s="14"/>
      <c r="H70" s="14"/>
    </row>
    <row r="71" customFormat="false" ht="15.75" hidden="false" customHeight="false" outlineLevel="0" collapsed="false">
      <c r="C71" s="14"/>
      <c r="D71" s="14"/>
      <c r="E71" s="14"/>
      <c r="F71" s="14"/>
      <c r="G71" s="14"/>
      <c r="H71" s="14"/>
    </row>
    <row r="72" customFormat="false" ht="15.75" hidden="false" customHeight="false" outlineLevel="0" collapsed="false">
      <c r="C72" s="14"/>
      <c r="D72" s="14"/>
      <c r="E72" s="14"/>
      <c r="F72" s="14"/>
      <c r="G72" s="14"/>
      <c r="H72" s="14"/>
    </row>
    <row r="73" customFormat="false" ht="15.75" hidden="false" customHeight="false" outlineLevel="0" collapsed="false">
      <c r="C73" s="14"/>
      <c r="D73" s="14"/>
      <c r="E73" s="14"/>
      <c r="F73" s="14"/>
      <c r="G73" s="14"/>
      <c r="H73" s="14"/>
    </row>
    <row r="74" customFormat="false" ht="15.75" hidden="false" customHeight="false" outlineLevel="0" collapsed="false">
      <c r="C74" s="14"/>
      <c r="D74" s="14"/>
      <c r="E74" s="14"/>
      <c r="F74" s="14"/>
      <c r="G74" s="14"/>
      <c r="H74" s="14"/>
    </row>
    <row r="75" customFormat="false" ht="15.75" hidden="false" customHeight="false" outlineLevel="0" collapsed="false">
      <c r="C75" s="14"/>
      <c r="D75" s="14"/>
      <c r="E75" s="14"/>
      <c r="F75" s="14"/>
      <c r="G75" s="14"/>
      <c r="H75" s="14"/>
    </row>
    <row r="76" customFormat="false" ht="15.75" hidden="false" customHeight="false" outlineLevel="0" collapsed="false">
      <c r="C76" s="14"/>
      <c r="D76" s="14"/>
      <c r="E76" s="14"/>
      <c r="F76" s="14"/>
      <c r="G76" s="14"/>
      <c r="H76" s="14"/>
    </row>
    <row r="77" customFormat="false" ht="15.75" hidden="false" customHeight="false" outlineLevel="0" collapsed="false">
      <c r="C77" s="14"/>
      <c r="D77" s="14"/>
      <c r="E77" s="14"/>
      <c r="F77" s="14"/>
      <c r="G77" s="14"/>
      <c r="H77" s="14"/>
    </row>
    <row r="78" customFormat="false" ht="15.75" hidden="false" customHeight="false" outlineLevel="0" collapsed="false">
      <c r="C78" s="14"/>
      <c r="D78" s="14"/>
      <c r="E78" s="14"/>
      <c r="F78" s="14"/>
      <c r="G78" s="14"/>
      <c r="H78" s="14"/>
    </row>
    <row r="79" customFormat="false" ht="15.75" hidden="false" customHeight="false" outlineLevel="0" collapsed="false">
      <c r="C79" s="14"/>
      <c r="D79" s="14"/>
      <c r="E79" s="14"/>
      <c r="F79" s="14"/>
      <c r="G79" s="14"/>
      <c r="H79" s="14"/>
    </row>
    <row r="80" customFormat="false" ht="15.75" hidden="false" customHeight="false" outlineLevel="0" collapsed="false">
      <c r="C80" s="14"/>
      <c r="D80" s="14"/>
      <c r="E80" s="14"/>
      <c r="F80" s="14"/>
      <c r="G80" s="14"/>
      <c r="H80" s="14"/>
    </row>
    <row r="81" customFormat="false" ht="15.75" hidden="false" customHeight="false" outlineLevel="0" collapsed="false">
      <c r="C81" s="14"/>
      <c r="D81" s="14"/>
      <c r="E81" s="14"/>
      <c r="F81" s="14"/>
      <c r="G81" s="14"/>
      <c r="H81" s="14"/>
    </row>
    <row r="82" customFormat="false" ht="15.75" hidden="false" customHeight="false" outlineLevel="0" collapsed="false">
      <c r="C82" s="14"/>
      <c r="D82" s="14"/>
      <c r="E82" s="14"/>
      <c r="F82" s="14"/>
      <c r="G82" s="14"/>
      <c r="H82" s="14"/>
    </row>
    <row r="83" customFormat="false" ht="15.75" hidden="false" customHeight="false" outlineLevel="0" collapsed="false">
      <c r="C83" s="14"/>
      <c r="D83" s="14"/>
      <c r="E83" s="14"/>
      <c r="F83" s="14"/>
      <c r="G83" s="14"/>
      <c r="H83" s="14"/>
    </row>
    <row r="84" customFormat="false" ht="15.75" hidden="false" customHeight="false" outlineLevel="0" collapsed="false">
      <c r="C84" s="14"/>
      <c r="D84" s="14"/>
      <c r="E84" s="14"/>
      <c r="F84" s="14"/>
      <c r="G84" s="14"/>
      <c r="H84" s="14"/>
    </row>
    <row r="85" customFormat="false" ht="15.75" hidden="false" customHeight="false" outlineLevel="0" collapsed="false">
      <c r="C85" s="14"/>
      <c r="D85" s="14"/>
      <c r="E85" s="14"/>
      <c r="F85" s="14"/>
      <c r="G85" s="14"/>
      <c r="H85" s="14"/>
    </row>
    <row r="86" customFormat="false" ht="15.75" hidden="false" customHeight="false" outlineLevel="0" collapsed="false">
      <c r="C86" s="14"/>
      <c r="D86" s="14"/>
      <c r="E86" s="14"/>
      <c r="F86" s="14"/>
      <c r="G86" s="14"/>
      <c r="H86" s="14"/>
    </row>
    <row r="87" customFormat="false" ht="15.75" hidden="false" customHeight="false" outlineLevel="0" collapsed="false">
      <c r="C87" s="14"/>
      <c r="D87" s="14"/>
      <c r="E87" s="14"/>
      <c r="F87" s="14"/>
      <c r="G87" s="14"/>
      <c r="H87" s="14"/>
    </row>
    <row r="88" customFormat="false" ht="15.75" hidden="false" customHeight="false" outlineLevel="0" collapsed="false">
      <c r="C88" s="14"/>
      <c r="D88" s="14"/>
      <c r="E88" s="14"/>
      <c r="F88" s="14"/>
      <c r="G88" s="14"/>
      <c r="H88" s="14"/>
    </row>
    <row r="89" customFormat="false" ht="15.75" hidden="false" customHeight="false" outlineLevel="0" collapsed="false">
      <c r="C89" s="14"/>
      <c r="D89" s="14"/>
      <c r="E89" s="14"/>
      <c r="F89" s="14"/>
      <c r="G89" s="14"/>
      <c r="H89" s="14"/>
    </row>
    <row r="90" customFormat="false" ht="15.75" hidden="false" customHeight="false" outlineLevel="0" collapsed="false">
      <c r="C90" s="14"/>
      <c r="D90" s="14"/>
      <c r="E90" s="14"/>
      <c r="F90" s="14"/>
      <c r="G90" s="14"/>
      <c r="H90" s="14"/>
    </row>
    <row r="91" customFormat="false" ht="15.75" hidden="false" customHeight="false" outlineLevel="0" collapsed="false">
      <c r="C91" s="14"/>
      <c r="D91" s="14"/>
      <c r="E91" s="14"/>
      <c r="F91" s="14"/>
      <c r="G91" s="14"/>
      <c r="H91" s="14"/>
    </row>
    <row r="92" customFormat="false" ht="15.75" hidden="false" customHeight="false" outlineLevel="0" collapsed="false"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C994" s="14"/>
      <c r="D994" s="14"/>
      <c r="E994" s="14"/>
      <c r="F994" s="14"/>
      <c r="G994" s="14"/>
      <c r="H994" s="14"/>
    </row>
    <row r="995" customFormat="false" ht="15.75" hidden="false" customHeight="false" outlineLevel="0" collapsed="false">
      <c r="C995" s="14"/>
      <c r="D995" s="14"/>
      <c r="E995" s="14"/>
      <c r="F995" s="14"/>
      <c r="G995" s="14"/>
      <c r="H995" s="14"/>
    </row>
    <row r="996" customFormat="false" ht="15.75" hidden="false" customHeight="false" outlineLevel="0" collapsed="false">
      <c r="C996" s="14"/>
      <c r="D996" s="14"/>
      <c r="E996" s="14"/>
      <c r="F996" s="14"/>
      <c r="G996" s="14"/>
      <c r="H996" s="14"/>
    </row>
    <row r="997" customFormat="false" ht="15.75" hidden="false" customHeight="false" outlineLevel="0" collapsed="false">
      <c r="C997" s="14"/>
      <c r="D997" s="14"/>
      <c r="E997" s="14"/>
      <c r="F997" s="14"/>
      <c r="G997" s="14"/>
      <c r="H997" s="14"/>
    </row>
    <row r="998" customFormat="false" ht="15.75" hidden="false" customHeight="false" outlineLevel="0" collapsed="false">
      <c r="C998" s="14"/>
      <c r="D998" s="14"/>
      <c r="E998" s="14"/>
      <c r="F998" s="14"/>
      <c r="G998" s="14"/>
      <c r="H998" s="14"/>
    </row>
    <row r="999" customFormat="false" ht="15.75" hidden="false" customHeight="false" outlineLevel="0" collapsed="false">
      <c r="C999" s="14"/>
      <c r="D999" s="14"/>
      <c r="E999" s="14"/>
      <c r="F999" s="14"/>
      <c r="G999" s="14"/>
      <c r="H999" s="14"/>
    </row>
    <row r="1000" customFormat="false" ht="15.75" hidden="false" customHeight="false" outlineLevel="0" collapsed="false">
      <c r="C1000" s="14"/>
      <c r="D1000" s="14"/>
      <c r="E1000" s="14"/>
      <c r="F1000" s="14"/>
      <c r="G1000" s="14"/>
      <c r="H1000" s="14"/>
    </row>
    <row r="1001" customFormat="false" ht="15.75" hidden="false" customHeight="false" outlineLevel="0" collapsed="false">
      <c r="C1001" s="14"/>
      <c r="D1001" s="14"/>
      <c r="E1001" s="14"/>
      <c r="F1001" s="14"/>
      <c r="G1001" s="14"/>
      <c r="H1001" s="14"/>
    </row>
    <row r="1002" customFormat="false" ht="15.75" hidden="false" customHeight="false" outlineLevel="0" collapsed="false">
      <c r="C1002" s="14"/>
      <c r="D1002" s="14"/>
      <c r="E1002" s="14"/>
      <c r="F1002" s="14"/>
      <c r="G1002" s="14"/>
      <c r="H1002" s="14"/>
    </row>
  </sheetData>
  <mergeCells count="16">
    <mergeCell ref="A2:A7"/>
    <mergeCell ref="F2:F8"/>
    <mergeCell ref="G2:G8"/>
    <mergeCell ref="H2:H8"/>
    <mergeCell ref="A8:A15"/>
    <mergeCell ref="F9:F15"/>
    <mergeCell ref="G9:G15"/>
    <mergeCell ref="H9:H15"/>
    <mergeCell ref="A16:A21"/>
    <mergeCell ref="F16:F21"/>
    <mergeCell ref="G16:G21"/>
    <mergeCell ref="H16:H21"/>
    <mergeCell ref="A23:C23"/>
    <mergeCell ref="F24:F27"/>
    <mergeCell ref="G24:G27"/>
    <mergeCell ref="H24:H27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56</v>
      </c>
      <c r="B2" s="6" t="s">
        <v>57</v>
      </c>
      <c r="C2" s="6" t="n">
        <v>20</v>
      </c>
      <c r="D2" s="6" t="e">
        <f aca="false">#REF!</f>
        <v>#REF!</v>
      </c>
      <c r="E2" s="7" t="e">
        <f aca="false">D2/1000*C2</f>
        <v>#REF!</v>
      </c>
      <c r="F2" s="20" t="e">
        <f aca="false">SUM(E2:E7)</f>
        <v>#REF!</v>
      </c>
      <c r="G2" s="20" t="n">
        <v>700</v>
      </c>
      <c r="H2" s="20" t="e">
        <f aca="false">(G2-F2)/F2*100</f>
        <v>#REF!</v>
      </c>
    </row>
    <row r="3" customFormat="false" ht="15.75" hidden="false" customHeight="false" outlineLevel="0" collapsed="false">
      <c r="A3" s="4"/>
      <c r="B3" s="21" t="s">
        <v>58</v>
      </c>
      <c r="C3" s="6" t="n">
        <v>20</v>
      </c>
      <c r="D3" s="6" t="e">
        <f aca="false">#REF!</f>
        <v>#REF!</v>
      </c>
      <c r="E3" s="7" t="e">
        <f aca="false">D3/1000*C3</f>
        <v>#REF!</v>
      </c>
      <c r="F3" s="20"/>
      <c r="G3" s="20"/>
      <c r="H3" s="20"/>
    </row>
    <row r="4" customFormat="false" ht="15.75" hidden="false" customHeight="false" outlineLevel="0" collapsed="false">
      <c r="A4" s="4"/>
      <c r="B4" s="5" t="s">
        <v>59</v>
      </c>
      <c r="C4" s="6" t="n">
        <v>20</v>
      </c>
      <c r="D4" s="6" t="e">
        <f aca="false">#REF!</f>
        <v>#REF!</v>
      </c>
      <c r="E4" s="7" t="e">
        <f aca="false">D4/1000*C4</f>
        <v>#REF!</v>
      </c>
      <c r="F4" s="20"/>
      <c r="G4" s="20"/>
      <c r="H4" s="20"/>
    </row>
    <row r="5" customFormat="false" ht="15.75" hidden="false" customHeight="false" outlineLevel="0" collapsed="false">
      <c r="A5" s="4"/>
      <c r="B5" s="5" t="s">
        <v>60</v>
      </c>
      <c r="C5" s="6" t="n">
        <v>30</v>
      </c>
      <c r="D5" s="6" t="n">
        <v>250</v>
      </c>
      <c r="E5" s="7" t="n">
        <f aca="false">D5/1000*C5</f>
        <v>7.5</v>
      </c>
      <c r="F5" s="20"/>
      <c r="G5" s="20"/>
      <c r="H5" s="20"/>
    </row>
    <row r="6" customFormat="false" ht="15.75" hidden="false" customHeight="false" outlineLevel="0" collapsed="false">
      <c r="A6" s="4"/>
      <c r="B6" s="5" t="s">
        <v>61</v>
      </c>
      <c r="C6" s="6" t="n">
        <v>0.5</v>
      </c>
      <c r="D6" s="6" t="e">
        <f aca="false">#REF!</f>
        <v>#REF!</v>
      </c>
      <c r="E6" s="7" t="e">
        <f aca="false">D6*C6</f>
        <v>#REF!</v>
      </c>
      <c r="F6" s="20"/>
      <c r="G6" s="20"/>
      <c r="H6" s="20"/>
    </row>
    <row r="7" customFormat="false" ht="15.75" hidden="false" customHeight="false" outlineLevel="0" collapsed="false">
      <c r="A7" s="4"/>
      <c r="B7" s="5" t="s">
        <v>62</v>
      </c>
      <c r="C7" s="6" t="n">
        <v>15</v>
      </c>
      <c r="D7" s="6" t="n">
        <v>250</v>
      </c>
      <c r="E7" s="7" t="n">
        <f aca="false">D7/1000*C7</f>
        <v>3.75</v>
      </c>
      <c r="F7" s="20"/>
      <c r="G7" s="20"/>
      <c r="H7" s="20"/>
    </row>
    <row r="8" customFormat="false" ht="15.75" hidden="false" customHeight="false" outlineLevel="0" collapsed="false">
      <c r="A8" s="4" t="s">
        <v>63</v>
      </c>
      <c r="B8" s="5" t="s">
        <v>64</v>
      </c>
      <c r="C8" s="6" t="n">
        <v>40</v>
      </c>
      <c r="D8" s="6" t="e">
        <f aca="false">#REF!</f>
        <v>#REF!</v>
      </c>
      <c r="E8" s="7" t="e">
        <f aca="false">D8/1000*C8</f>
        <v>#REF!</v>
      </c>
      <c r="F8" s="15" t="e">
        <f aca="false">SUM(E8:E14)</f>
        <v>#REF!</v>
      </c>
      <c r="G8" s="9" t="n">
        <v>700</v>
      </c>
      <c r="H8" s="9" t="e">
        <f aca="false">(G8-F8)/F8*100</f>
        <v>#REF!</v>
      </c>
    </row>
    <row r="9" customFormat="false" ht="15.75" hidden="false" customHeight="false" outlineLevel="0" collapsed="false">
      <c r="A9" s="4"/>
      <c r="B9" s="5" t="s">
        <v>47</v>
      </c>
      <c r="C9" s="6" t="n">
        <v>20</v>
      </c>
      <c r="D9" s="6" t="e">
        <f aca="false">#REF!</f>
        <v>#REF!</v>
      </c>
      <c r="E9" s="7" t="e">
        <f aca="false">D9/1000*C9</f>
        <v>#REF!</v>
      </c>
      <c r="F9" s="15"/>
      <c r="G9" s="15"/>
      <c r="H9" s="15"/>
    </row>
    <row r="10" customFormat="false" ht="15.75" hidden="false" customHeight="false" outlineLevel="0" collapsed="false">
      <c r="A10" s="4"/>
      <c r="B10" s="5" t="s">
        <v>65</v>
      </c>
      <c r="C10" s="6" t="n">
        <v>15</v>
      </c>
      <c r="D10" s="6" t="e">
        <f aca="false">#REF!</f>
        <v>#REF!</v>
      </c>
      <c r="E10" s="7" t="e">
        <f aca="false">D10/1000*C10</f>
        <v>#REF!</v>
      </c>
      <c r="F10" s="15"/>
      <c r="G10" s="15"/>
      <c r="H10" s="15"/>
    </row>
    <row r="11" customFormat="false" ht="15.75" hidden="false" customHeight="false" outlineLevel="0" collapsed="false">
      <c r="A11" s="4"/>
      <c r="B11" s="5" t="s">
        <v>66</v>
      </c>
      <c r="C11" s="6" t="n">
        <v>40</v>
      </c>
      <c r="D11" s="6" t="n">
        <v>250</v>
      </c>
      <c r="E11" s="7" t="n">
        <f aca="false">D11/1000*C11</f>
        <v>10</v>
      </c>
      <c r="F11" s="15"/>
      <c r="G11" s="15"/>
      <c r="H11" s="15"/>
    </row>
    <row r="12" customFormat="false" ht="15.75" hidden="false" customHeight="false" outlineLevel="0" collapsed="false">
      <c r="A12" s="4"/>
      <c r="B12" s="5" t="s">
        <v>67</v>
      </c>
      <c r="C12" s="6" t="n">
        <v>100</v>
      </c>
      <c r="D12" s="6" t="e">
        <f aca="false">#REF!</f>
        <v>#REF!</v>
      </c>
      <c r="E12" s="7" t="e">
        <f aca="false">D12/1000*C12</f>
        <v>#REF!</v>
      </c>
      <c r="F12" s="15"/>
      <c r="G12" s="15"/>
      <c r="H12" s="15"/>
    </row>
    <row r="13" customFormat="false" ht="15.75" hidden="false" customHeight="false" outlineLevel="0" collapsed="false">
      <c r="A13" s="4"/>
      <c r="B13" s="5" t="s">
        <v>68</v>
      </c>
      <c r="C13" s="6" t="n">
        <v>15</v>
      </c>
      <c r="D13" s="6" t="n">
        <v>250</v>
      </c>
      <c r="E13" s="7" t="n">
        <f aca="false">D13/1000*C13</f>
        <v>3.75</v>
      </c>
      <c r="F13" s="15"/>
      <c r="G13" s="15"/>
      <c r="H13" s="15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D14/1000*C14</f>
        <v>0</v>
      </c>
      <c r="F14" s="15"/>
      <c r="G14" s="15"/>
      <c r="H14" s="15"/>
    </row>
    <row r="15" customFormat="false" ht="15.75" hidden="false" customHeight="true" outlineLevel="0" collapsed="false">
      <c r="A15" s="22" t="s">
        <v>69</v>
      </c>
      <c r="B15" s="5" t="s">
        <v>70</v>
      </c>
      <c r="C15" s="6" t="n">
        <v>40</v>
      </c>
      <c r="D15" s="6" t="e">
        <f aca="false">#REF!</f>
        <v>#REF!</v>
      </c>
      <c r="E15" s="7" t="e">
        <f aca="false">D15/1000*C15</f>
        <v>#REF!</v>
      </c>
      <c r="F15" s="15" t="e">
        <f aca="false">SUM(E15:E20)</f>
        <v>#REF!</v>
      </c>
      <c r="G15" s="9" t="n">
        <v>700</v>
      </c>
      <c r="H15" s="9" t="e">
        <f aca="false">(G15-F15)/F15*100</f>
        <v>#REF!</v>
      </c>
    </row>
    <row r="16" customFormat="false" ht="15.75" hidden="false" customHeight="false" outlineLevel="0" collapsed="false">
      <c r="A16" s="22"/>
      <c r="B16" s="5" t="s">
        <v>39</v>
      </c>
      <c r="C16" s="6" t="n">
        <v>20</v>
      </c>
      <c r="D16" s="6" t="e">
        <f aca="false">#REF!</f>
        <v>#REF!</v>
      </c>
      <c r="E16" s="7" t="e">
        <f aca="false">D16/1000*C16</f>
        <v>#REF!</v>
      </c>
      <c r="F16" s="15"/>
      <c r="G16" s="15"/>
      <c r="H16" s="15"/>
    </row>
    <row r="17" customFormat="false" ht="15.75" hidden="false" customHeight="false" outlineLevel="0" collapsed="false">
      <c r="A17" s="22"/>
      <c r="B17" s="5" t="s">
        <v>71</v>
      </c>
      <c r="C17" s="6" t="n">
        <v>10</v>
      </c>
      <c r="D17" s="6" t="e">
        <f aca="false">#REF!</f>
        <v>#REF!</v>
      </c>
      <c r="E17" s="7" t="e">
        <f aca="false">D17/1000*C17</f>
        <v>#REF!</v>
      </c>
      <c r="F17" s="15"/>
      <c r="G17" s="15"/>
      <c r="H17" s="15"/>
    </row>
    <row r="18" customFormat="false" ht="15.75" hidden="false" customHeight="false" outlineLevel="0" collapsed="false">
      <c r="A18" s="22"/>
      <c r="B18" s="5" t="s">
        <v>66</v>
      </c>
      <c r="C18" s="6" t="n">
        <v>40</v>
      </c>
      <c r="D18" s="6" t="n">
        <v>250</v>
      </c>
      <c r="E18" s="7" t="n">
        <f aca="false">D18/1000*C18</f>
        <v>10</v>
      </c>
      <c r="F18" s="15"/>
      <c r="G18" s="15"/>
      <c r="H18" s="15"/>
    </row>
    <row r="19" customFormat="false" ht="15.75" hidden="false" customHeight="false" outlineLevel="0" collapsed="false">
      <c r="A19" s="22"/>
      <c r="B19" s="5" t="s">
        <v>72</v>
      </c>
      <c r="C19" s="6" t="n">
        <v>100</v>
      </c>
      <c r="D19" s="6" t="e">
        <f aca="false">#REF!</f>
        <v>#REF!</v>
      </c>
      <c r="E19" s="7" t="e">
        <f aca="false">D19/1000*C19</f>
        <v>#REF!</v>
      </c>
      <c r="F19" s="15"/>
      <c r="G19" s="15"/>
      <c r="H19" s="15"/>
    </row>
    <row r="20" customFormat="false" ht="15.75" hidden="false" customHeight="false" outlineLevel="0" collapsed="false">
      <c r="A20" s="22"/>
      <c r="B20" s="5" t="s">
        <v>68</v>
      </c>
      <c r="C20" s="6" t="n">
        <v>15</v>
      </c>
      <c r="D20" s="6" t="n">
        <v>250</v>
      </c>
      <c r="E20" s="7" t="n">
        <f aca="false">D20/1000*C20</f>
        <v>3.75</v>
      </c>
      <c r="F20" s="15"/>
      <c r="G20" s="15"/>
      <c r="H20" s="15"/>
    </row>
    <row r="21" customFormat="false" ht="15.75" hidden="false" customHeight="true" outlineLevel="0" collapsed="false">
      <c r="A21" s="22" t="s">
        <v>73</v>
      </c>
      <c r="B21" s="6" t="s">
        <v>74</v>
      </c>
      <c r="C21" s="6" t="n">
        <v>20</v>
      </c>
      <c r="D21" s="6" t="e">
        <f aca="false">#REF!</f>
        <v>#REF!</v>
      </c>
      <c r="E21" s="7" t="e">
        <f aca="false">D21/1000*C21</f>
        <v>#REF!</v>
      </c>
      <c r="F21" s="15" t="e">
        <f aca="false">SUM(E21:E26)</f>
        <v>#REF!</v>
      </c>
      <c r="G21" s="9" t="n">
        <v>700</v>
      </c>
      <c r="H21" s="9" t="e">
        <f aca="false">(G21-F21)/F21*100</f>
        <v>#REF!</v>
      </c>
    </row>
    <row r="22" customFormat="false" ht="15.75" hidden="false" customHeight="false" outlineLevel="0" collapsed="false">
      <c r="A22" s="22"/>
      <c r="B22" s="21" t="s">
        <v>75</v>
      </c>
      <c r="C22" s="6" t="n">
        <v>20</v>
      </c>
      <c r="D22" s="6" t="e">
        <f aca="false">#REF!</f>
        <v>#REF!</v>
      </c>
      <c r="E22" s="7" t="e">
        <f aca="false">D22/1000*C22</f>
        <v>#REF!</v>
      </c>
      <c r="F22" s="15"/>
      <c r="G22" s="15"/>
      <c r="H22" s="15"/>
    </row>
    <row r="23" customFormat="false" ht="15.75" hidden="false" customHeight="false" outlineLevel="0" collapsed="false">
      <c r="A23" s="22"/>
      <c r="B23" s="21" t="s">
        <v>76</v>
      </c>
      <c r="C23" s="6" t="n">
        <v>10</v>
      </c>
      <c r="D23" s="6" t="e">
        <f aca="false">#REF!</f>
        <v>#REF!</v>
      </c>
      <c r="E23" s="7" t="e">
        <f aca="false">D23/1000*C23</f>
        <v>#REF!</v>
      </c>
      <c r="F23" s="15"/>
      <c r="G23" s="15"/>
      <c r="H23" s="15"/>
    </row>
    <row r="24" customFormat="false" ht="15.75" hidden="false" customHeight="false" outlineLevel="0" collapsed="false">
      <c r="A24" s="22"/>
      <c r="B24" s="21" t="s">
        <v>60</v>
      </c>
      <c r="C24" s="6" t="n">
        <v>30</v>
      </c>
      <c r="D24" s="6" t="n">
        <v>250</v>
      </c>
      <c r="E24" s="7" t="n">
        <f aca="false">D24/1000*C24</f>
        <v>7.5</v>
      </c>
      <c r="F24" s="15"/>
      <c r="G24" s="15"/>
      <c r="H24" s="15"/>
    </row>
    <row r="25" customFormat="false" ht="15.75" hidden="false" customHeight="false" outlineLevel="0" collapsed="false">
      <c r="A25" s="22"/>
      <c r="B25" s="21" t="s">
        <v>77</v>
      </c>
      <c r="C25" s="6" t="n">
        <v>60</v>
      </c>
      <c r="D25" s="6" t="e">
        <f aca="false">#REF!</f>
        <v>#REF!</v>
      </c>
      <c r="E25" s="7" t="e">
        <f aca="false">D25/1000*C25</f>
        <v>#REF!</v>
      </c>
      <c r="F25" s="15"/>
      <c r="G25" s="15"/>
      <c r="H25" s="15"/>
    </row>
    <row r="26" customFormat="false" ht="15.75" hidden="false" customHeight="false" outlineLevel="0" collapsed="false">
      <c r="A26" s="22"/>
      <c r="B26" s="21" t="s">
        <v>78</v>
      </c>
      <c r="C26" s="6" t="n">
        <v>10</v>
      </c>
      <c r="D26" s="6" t="n">
        <v>250</v>
      </c>
      <c r="E26" s="7" t="n">
        <f aca="false">D26/1000*C26</f>
        <v>2.5</v>
      </c>
      <c r="F26" s="15"/>
      <c r="G26" s="15"/>
      <c r="H26" s="15"/>
    </row>
    <row r="27" customFormat="false" ht="15.75" hidden="false" customHeight="false" outlineLevel="0" collapsed="false">
      <c r="A27" s="16"/>
      <c r="B27" s="16"/>
      <c r="C27" s="6"/>
      <c r="D27" s="6"/>
      <c r="E27" s="7"/>
      <c r="F27" s="6"/>
      <c r="G27" s="6"/>
      <c r="H27" s="6"/>
    </row>
    <row r="28" customFormat="false" ht="15.75" hidden="false" customHeight="false" outlineLevel="0" collapsed="false">
      <c r="A28" s="3" t="s">
        <v>51</v>
      </c>
      <c r="B28" s="3"/>
      <c r="C28" s="3"/>
      <c r="D28" s="6"/>
      <c r="E28" s="7"/>
      <c r="F28" s="6"/>
      <c r="G28" s="6"/>
      <c r="H28" s="6"/>
    </row>
    <row r="29" customFormat="false" ht="15.75" hidden="false" customHeight="false" outlineLevel="0" collapsed="false">
      <c r="A29" s="4" t="s">
        <v>79</v>
      </c>
      <c r="B29" s="5" t="s">
        <v>70</v>
      </c>
      <c r="C29" s="6" t="n">
        <v>40</v>
      </c>
      <c r="D29" s="6" t="e">
        <f aca="false">#REF!</f>
        <v>#REF!</v>
      </c>
      <c r="E29" s="7" t="e">
        <f aca="false">D29/1000*C29</f>
        <v>#REF!</v>
      </c>
      <c r="F29" s="15" t="e">
        <f aca="false">SUM(E29:E32)</f>
        <v>#REF!</v>
      </c>
      <c r="G29" s="18" t="n">
        <v>1000</v>
      </c>
      <c r="H29" s="18" t="e">
        <f aca="false">(G29-F29)/F29*100</f>
        <v>#REF!</v>
      </c>
    </row>
    <row r="30" customFormat="false" ht="15.75" hidden="false" customHeight="false" outlineLevel="0" collapsed="false">
      <c r="A30" s="4"/>
      <c r="B30" s="5" t="s">
        <v>80</v>
      </c>
      <c r="C30" s="6" t="n">
        <v>40</v>
      </c>
      <c r="D30" s="6" t="e">
        <f aca="false">#REF!</f>
        <v>#REF!</v>
      </c>
      <c r="E30" s="7" t="e">
        <f aca="false">D30/1000*C30</f>
        <v>#REF!</v>
      </c>
      <c r="F30" s="15"/>
      <c r="G30" s="15"/>
      <c r="H30" s="15"/>
    </row>
    <row r="31" customFormat="false" ht="15.75" hidden="false" customHeight="false" outlineLevel="0" collapsed="false">
      <c r="A31" s="4"/>
      <c r="B31" s="21" t="s">
        <v>81</v>
      </c>
      <c r="C31" s="6" t="n">
        <v>40</v>
      </c>
      <c r="D31" s="6" t="e">
        <f aca="false">#REF!</f>
        <v>#REF!</v>
      </c>
      <c r="E31" s="7" t="e">
        <f aca="false">D31/1000*C31</f>
        <v>#REF!</v>
      </c>
      <c r="F31" s="15"/>
      <c r="G31" s="15"/>
      <c r="H31" s="15"/>
    </row>
    <row r="32" customFormat="false" ht="15.75" hidden="false" customHeight="false" outlineLevel="0" collapsed="false">
      <c r="A32" s="4"/>
      <c r="B32" s="5" t="s">
        <v>82</v>
      </c>
      <c r="C32" s="14" t="n">
        <v>40</v>
      </c>
      <c r="D32" s="14" t="e">
        <f aca="false">#REF!</f>
        <v>#REF!</v>
      </c>
      <c r="E32" s="7" t="e">
        <f aca="false">D32/1000*C32</f>
        <v>#REF!</v>
      </c>
      <c r="F32" s="15"/>
      <c r="G32" s="15"/>
      <c r="H32" s="15"/>
    </row>
    <row r="33" customFormat="false" ht="15.75" hidden="false" customHeight="false" outlineLevel="0" collapsed="false">
      <c r="C33" s="14"/>
      <c r="D33" s="14"/>
      <c r="E33" s="14"/>
      <c r="F33" s="14"/>
      <c r="G33" s="14"/>
      <c r="H33" s="14"/>
    </row>
    <row r="34" customFormat="false" ht="15.75" hidden="false" customHeight="false" outlineLevel="0" collapsed="false">
      <c r="C34" s="14"/>
      <c r="D34" s="14"/>
      <c r="E34" s="14"/>
      <c r="F34" s="14"/>
      <c r="G34" s="14"/>
      <c r="H34" s="14"/>
    </row>
    <row r="35" customFormat="false" ht="15.75" hidden="false" customHeight="false" outlineLevel="0" collapsed="false">
      <c r="C35" s="14"/>
      <c r="D35" s="14"/>
      <c r="E35" s="14"/>
      <c r="F35" s="14"/>
      <c r="G35" s="14"/>
      <c r="H35" s="14"/>
    </row>
    <row r="36" customFormat="false" ht="15.75" hidden="false" customHeight="false" outlineLevel="0" collapsed="false">
      <c r="C36" s="14"/>
      <c r="D36" s="14"/>
      <c r="E36" s="14"/>
      <c r="F36" s="14"/>
      <c r="G36" s="14"/>
      <c r="H36" s="14"/>
    </row>
    <row r="37" customFormat="false" ht="15.75" hidden="false" customHeight="false" outlineLevel="0" collapsed="false">
      <c r="C37" s="14"/>
      <c r="D37" s="14"/>
      <c r="E37" s="14"/>
      <c r="F37" s="14"/>
      <c r="G37" s="14"/>
      <c r="H37" s="14"/>
    </row>
    <row r="38" customFormat="false" ht="15.75" hidden="false" customHeight="false" outlineLevel="0" collapsed="false">
      <c r="C38" s="14"/>
      <c r="D38" s="14"/>
      <c r="E38" s="14"/>
      <c r="F38" s="14"/>
      <c r="G38" s="14"/>
      <c r="H38" s="14"/>
    </row>
    <row r="39" customFormat="false" ht="15.75" hidden="false" customHeight="false" outlineLevel="0" collapsed="false">
      <c r="C39" s="14"/>
      <c r="D39" s="14"/>
      <c r="E39" s="14"/>
      <c r="F39" s="14"/>
      <c r="G39" s="14"/>
      <c r="H39" s="14"/>
    </row>
    <row r="40" customFormat="false" ht="15.75" hidden="false" customHeight="false" outlineLevel="0" collapsed="false">
      <c r="C40" s="14"/>
      <c r="D40" s="14"/>
      <c r="E40" s="14"/>
      <c r="F40" s="14"/>
      <c r="G40" s="14"/>
      <c r="H40" s="14"/>
    </row>
    <row r="41" customFormat="false" ht="15.75" hidden="false" customHeight="false" outlineLevel="0" collapsed="false">
      <c r="C41" s="14"/>
      <c r="D41" s="14"/>
      <c r="E41" s="14"/>
      <c r="F41" s="14"/>
      <c r="G41" s="14"/>
      <c r="H41" s="14"/>
    </row>
    <row r="42" customFormat="false" ht="15.75" hidden="false" customHeight="false" outlineLevel="0" collapsed="false">
      <c r="C42" s="14"/>
      <c r="D42" s="14"/>
      <c r="E42" s="14"/>
      <c r="F42" s="14"/>
      <c r="G42" s="14"/>
      <c r="H42" s="14"/>
    </row>
    <row r="43" customFormat="false" ht="15.75" hidden="false" customHeight="false" outlineLevel="0" collapsed="false">
      <c r="C43" s="14"/>
      <c r="D43" s="14"/>
      <c r="E43" s="14"/>
      <c r="F43" s="14"/>
      <c r="G43" s="14"/>
      <c r="H43" s="14"/>
    </row>
    <row r="44" customFormat="false" ht="15.75" hidden="false" customHeight="false" outlineLevel="0" collapsed="false">
      <c r="C44" s="14"/>
      <c r="D44" s="14"/>
      <c r="E44" s="14"/>
      <c r="F44" s="14"/>
      <c r="G44" s="14"/>
      <c r="H44" s="14"/>
    </row>
    <row r="45" customFormat="false" ht="15.75" hidden="false" customHeight="false" outlineLevel="0" collapsed="false">
      <c r="C45" s="14"/>
      <c r="D45" s="14"/>
      <c r="E45" s="14"/>
      <c r="F45" s="14"/>
      <c r="G45" s="14"/>
      <c r="H45" s="14"/>
    </row>
    <row r="46" customFormat="false" ht="15.75" hidden="false" customHeight="false" outlineLevel="0" collapsed="false">
      <c r="C46" s="14"/>
      <c r="D46" s="14"/>
      <c r="E46" s="14"/>
      <c r="F46" s="14"/>
      <c r="G46" s="14"/>
      <c r="H46" s="14"/>
    </row>
    <row r="47" customFormat="false" ht="15.75" hidden="false" customHeight="false" outlineLevel="0" collapsed="false">
      <c r="C47" s="14"/>
      <c r="D47" s="14"/>
      <c r="E47" s="14"/>
      <c r="F47" s="14"/>
      <c r="G47" s="14"/>
      <c r="H47" s="14"/>
    </row>
    <row r="48" customFormat="false" ht="15.75" hidden="false" customHeight="false" outlineLevel="0" collapsed="false">
      <c r="C48" s="14"/>
      <c r="D48" s="14"/>
      <c r="E48" s="14"/>
      <c r="F48" s="14"/>
      <c r="G48" s="14"/>
      <c r="H48" s="14"/>
    </row>
    <row r="49" customFormat="false" ht="15.75" hidden="false" customHeight="false" outlineLevel="0" collapsed="false">
      <c r="C49" s="14"/>
      <c r="D49" s="14"/>
      <c r="E49" s="14"/>
      <c r="F49" s="14"/>
      <c r="G49" s="14"/>
      <c r="H49" s="14"/>
    </row>
    <row r="50" customFormat="false" ht="15.75" hidden="false" customHeight="false" outlineLevel="0" collapsed="false">
      <c r="C50" s="14"/>
      <c r="D50" s="14"/>
      <c r="E50" s="14"/>
      <c r="F50" s="14"/>
      <c r="G50" s="14"/>
      <c r="H50" s="14"/>
    </row>
    <row r="51" customFormat="false" ht="15.75" hidden="false" customHeight="false" outlineLevel="0" collapsed="false">
      <c r="C51" s="14"/>
      <c r="D51" s="14"/>
      <c r="E51" s="14"/>
      <c r="F51" s="14"/>
      <c r="G51" s="14"/>
      <c r="H51" s="14"/>
    </row>
    <row r="52" customFormat="false" ht="15.75" hidden="false" customHeight="false" outlineLevel="0" collapsed="false">
      <c r="C52" s="14"/>
      <c r="D52" s="14"/>
      <c r="E52" s="14"/>
      <c r="F52" s="14"/>
      <c r="G52" s="14"/>
      <c r="H52" s="14"/>
    </row>
    <row r="53" customFormat="false" ht="15.75" hidden="false" customHeight="false" outlineLevel="0" collapsed="false">
      <c r="C53" s="14"/>
      <c r="D53" s="14"/>
      <c r="E53" s="14"/>
      <c r="F53" s="14"/>
      <c r="G53" s="14"/>
      <c r="H53" s="14"/>
    </row>
    <row r="54" customFormat="false" ht="15.75" hidden="false" customHeight="false" outlineLevel="0" collapsed="false">
      <c r="C54" s="14"/>
      <c r="D54" s="14"/>
      <c r="E54" s="14"/>
      <c r="F54" s="14"/>
      <c r="G54" s="14"/>
      <c r="H54" s="14"/>
    </row>
    <row r="55" customFormat="false" ht="15.75" hidden="false" customHeight="false" outlineLevel="0" collapsed="false">
      <c r="C55" s="14"/>
      <c r="D55" s="14"/>
      <c r="E55" s="14"/>
      <c r="F55" s="14"/>
      <c r="G55" s="14"/>
      <c r="H55" s="14"/>
    </row>
    <row r="56" customFormat="false" ht="15.75" hidden="false" customHeight="false" outlineLevel="0" collapsed="false">
      <c r="C56" s="14"/>
      <c r="D56" s="14"/>
      <c r="E56" s="14"/>
      <c r="F56" s="14"/>
      <c r="G56" s="14"/>
      <c r="H56" s="14"/>
    </row>
    <row r="57" customFormat="false" ht="15.75" hidden="false" customHeight="false" outlineLevel="0" collapsed="false">
      <c r="C57" s="14"/>
      <c r="D57" s="14"/>
      <c r="E57" s="14"/>
      <c r="F57" s="14"/>
      <c r="G57" s="14"/>
      <c r="H57" s="14"/>
    </row>
    <row r="58" customFormat="false" ht="15.75" hidden="false" customHeight="false" outlineLevel="0" collapsed="false">
      <c r="C58" s="14"/>
      <c r="D58" s="14"/>
      <c r="E58" s="14"/>
      <c r="F58" s="14"/>
      <c r="G58" s="14"/>
      <c r="H58" s="14"/>
    </row>
    <row r="59" customFormat="false" ht="15.75" hidden="false" customHeight="false" outlineLevel="0" collapsed="false">
      <c r="C59" s="14"/>
      <c r="D59" s="14"/>
      <c r="E59" s="14"/>
      <c r="F59" s="14"/>
      <c r="G59" s="14"/>
      <c r="H59" s="14"/>
    </row>
    <row r="60" customFormat="false" ht="15.75" hidden="false" customHeight="false" outlineLevel="0" collapsed="false">
      <c r="C60" s="14"/>
      <c r="D60" s="14"/>
      <c r="E60" s="14"/>
      <c r="F60" s="14"/>
      <c r="G60" s="14"/>
      <c r="H60" s="14"/>
    </row>
    <row r="61" customFormat="false" ht="15.75" hidden="false" customHeight="false" outlineLevel="0" collapsed="false">
      <c r="C61" s="14"/>
      <c r="D61" s="14"/>
      <c r="E61" s="14"/>
      <c r="F61" s="14"/>
      <c r="G61" s="14"/>
      <c r="H61" s="14"/>
    </row>
    <row r="62" customFormat="false" ht="15.75" hidden="false" customHeight="false" outlineLevel="0" collapsed="false">
      <c r="C62" s="14"/>
      <c r="D62" s="14"/>
      <c r="E62" s="14"/>
      <c r="F62" s="14"/>
      <c r="G62" s="14"/>
      <c r="H62" s="14"/>
    </row>
    <row r="63" customFormat="false" ht="15.75" hidden="false" customHeight="false" outlineLevel="0" collapsed="false">
      <c r="C63" s="14"/>
      <c r="D63" s="14"/>
      <c r="E63" s="14"/>
      <c r="F63" s="14"/>
      <c r="G63" s="14"/>
      <c r="H63" s="14"/>
    </row>
    <row r="64" customFormat="false" ht="15.75" hidden="false" customHeight="false" outlineLevel="0" collapsed="false">
      <c r="C64" s="14"/>
      <c r="D64" s="14"/>
      <c r="E64" s="14"/>
      <c r="F64" s="14"/>
      <c r="G64" s="14"/>
      <c r="H64" s="14"/>
    </row>
    <row r="65" customFormat="false" ht="15.75" hidden="false" customHeight="false" outlineLevel="0" collapsed="false">
      <c r="C65" s="14"/>
      <c r="D65" s="14"/>
      <c r="E65" s="14"/>
      <c r="F65" s="14"/>
      <c r="G65" s="14"/>
      <c r="H65" s="14"/>
    </row>
    <row r="66" customFormat="false" ht="15.75" hidden="false" customHeight="false" outlineLevel="0" collapsed="false">
      <c r="C66" s="14"/>
      <c r="D66" s="14"/>
      <c r="E66" s="14"/>
      <c r="F66" s="14"/>
      <c r="G66" s="14"/>
      <c r="H66" s="14"/>
    </row>
    <row r="67" customFormat="false" ht="15.75" hidden="false" customHeight="false" outlineLevel="0" collapsed="false">
      <c r="C67" s="14"/>
      <c r="D67" s="14"/>
      <c r="E67" s="14"/>
      <c r="F67" s="14"/>
      <c r="G67" s="14"/>
      <c r="H67" s="14"/>
    </row>
    <row r="68" customFormat="false" ht="15.75" hidden="false" customHeight="false" outlineLevel="0" collapsed="false">
      <c r="C68" s="14"/>
      <c r="D68" s="14"/>
      <c r="E68" s="14"/>
      <c r="F68" s="14"/>
      <c r="G68" s="14"/>
      <c r="H68" s="14"/>
    </row>
    <row r="69" customFormat="false" ht="15.75" hidden="false" customHeight="false" outlineLevel="0" collapsed="false">
      <c r="C69" s="14"/>
      <c r="D69" s="14"/>
      <c r="E69" s="14"/>
      <c r="F69" s="14"/>
      <c r="G69" s="14"/>
      <c r="H69" s="14"/>
    </row>
    <row r="70" customFormat="false" ht="15.75" hidden="false" customHeight="false" outlineLevel="0" collapsed="false">
      <c r="C70" s="14"/>
      <c r="D70" s="14"/>
      <c r="E70" s="14"/>
      <c r="F70" s="14"/>
      <c r="G70" s="14"/>
      <c r="H70" s="14"/>
    </row>
    <row r="71" customFormat="false" ht="15.75" hidden="false" customHeight="false" outlineLevel="0" collapsed="false">
      <c r="C71" s="14"/>
      <c r="D71" s="14"/>
      <c r="E71" s="14"/>
      <c r="F71" s="14"/>
      <c r="G71" s="14"/>
      <c r="H71" s="14"/>
    </row>
    <row r="72" customFormat="false" ht="15.75" hidden="false" customHeight="false" outlineLevel="0" collapsed="false">
      <c r="C72" s="14"/>
      <c r="D72" s="14"/>
      <c r="E72" s="14"/>
      <c r="F72" s="14"/>
      <c r="G72" s="14"/>
      <c r="H72" s="14"/>
    </row>
    <row r="73" customFormat="false" ht="15.75" hidden="false" customHeight="false" outlineLevel="0" collapsed="false">
      <c r="C73" s="14"/>
      <c r="D73" s="14"/>
      <c r="E73" s="14"/>
      <c r="F73" s="14"/>
      <c r="G73" s="14"/>
      <c r="H73" s="14"/>
    </row>
    <row r="74" customFormat="false" ht="15.75" hidden="false" customHeight="false" outlineLevel="0" collapsed="false">
      <c r="C74" s="14"/>
      <c r="D74" s="14"/>
      <c r="E74" s="14"/>
      <c r="F74" s="14"/>
      <c r="G74" s="14"/>
      <c r="H74" s="14"/>
    </row>
    <row r="75" customFormat="false" ht="15.75" hidden="false" customHeight="false" outlineLevel="0" collapsed="false">
      <c r="C75" s="14"/>
      <c r="D75" s="14"/>
      <c r="E75" s="14"/>
      <c r="F75" s="14"/>
      <c r="G75" s="14"/>
      <c r="H75" s="14"/>
    </row>
    <row r="76" customFormat="false" ht="15.75" hidden="false" customHeight="false" outlineLevel="0" collapsed="false">
      <c r="C76" s="14"/>
      <c r="D76" s="14"/>
      <c r="E76" s="14"/>
      <c r="F76" s="14"/>
      <c r="G76" s="14"/>
      <c r="H76" s="14"/>
    </row>
    <row r="77" customFormat="false" ht="15.75" hidden="false" customHeight="false" outlineLevel="0" collapsed="false">
      <c r="C77" s="14"/>
      <c r="D77" s="14"/>
      <c r="E77" s="14"/>
      <c r="F77" s="14"/>
      <c r="G77" s="14"/>
      <c r="H77" s="14"/>
    </row>
    <row r="78" customFormat="false" ht="15.75" hidden="false" customHeight="false" outlineLevel="0" collapsed="false">
      <c r="C78" s="14"/>
      <c r="D78" s="14"/>
      <c r="E78" s="14"/>
      <c r="F78" s="14"/>
      <c r="G78" s="14"/>
      <c r="H78" s="14"/>
    </row>
    <row r="79" customFormat="false" ht="15.75" hidden="false" customHeight="false" outlineLevel="0" collapsed="false">
      <c r="C79" s="14"/>
      <c r="D79" s="14"/>
      <c r="E79" s="14"/>
      <c r="F79" s="14"/>
      <c r="G79" s="14"/>
      <c r="H79" s="14"/>
    </row>
    <row r="80" customFormat="false" ht="15.75" hidden="false" customHeight="false" outlineLevel="0" collapsed="false">
      <c r="C80" s="14"/>
      <c r="D80" s="14"/>
      <c r="E80" s="14"/>
      <c r="F80" s="14"/>
      <c r="G80" s="14"/>
      <c r="H80" s="14"/>
    </row>
    <row r="81" customFormat="false" ht="15.75" hidden="false" customHeight="false" outlineLevel="0" collapsed="false">
      <c r="C81" s="14"/>
      <c r="D81" s="14"/>
      <c r="E81" s="14"/>
      <c r="F81" s="14"/>
      <c r="G81" s="14"/>
      <c r="H81" s="14"/>
    </row>
    <row r="82" customFormat="false" ht="15.75" hidden="false" customHeight="false" outlineLevel="0" collapsed="false">
      <c r="C82" s="14"/>
      <c r="D82" s="14"/>
      <c r="E82" s="14"/>
      <c r="F82" s="14"/>
      <c r="G82" s="14"/>
      <c r="H82" s="14"/>
    </row>
    <row r="83" customFormat="false" ht="15.75" hidden="false" customHeight="false" outlineLevel="0" collapsed="false">
      <c r="C83" s="14"/>
      <c r="D83" s="14"/>
      <c r="E83" s="14"/>
      <c r="F83" s="14"/>
      <c r="G83" s="14"/>
      <c r="H83" s="14"/>
    </row>
    <row r="84" customFormat="false" ht="15.75" hidden="false" customHeight="false" outlineLevel="0" collapsed="false">
      <c r="C84" s="14"/>
      <c r="D84" s="14"/>
      <c r="E84" s="14"/>
      <c r="F84" s="14"/>
      <c r="G84" s="14"/>
      <c r="H84" s="14"/>
    </row>
    <row r="85" customFormat="false" ht="15.75" hidden="false" customHeight="false" outlineLevel="0" collapsed="false">
      <c r="C85" s="14"/>
      <c r="D85" s="14"/>
      <c r="E85" s="14"/>
      <c r="F85" s="14"/>
      <c r="G85" s="14"/>
      <c r="H85" s="14"/>
    </row>
    <row r="86" customFormat="false" ht="15.75" hidden="false" customHeight="false" outlineLevel="0" collapsed="false">
      <c r="C86" s="14"/>
      <c r="D86" s="14"/>
      <c r="E86" s="14"/>
      <c r="F86" s="14"/>
      <c r="G86" s="14"/>
      <c r="H86" s="14"/>
    </row>
    <row r="87" customFormat="false" ht="15.75" hidden="false" customHeight="false" outlineLevel="0" collapsed="false">
      <c r="C87" s="14"/>
      <c r="D87" s="14"/>
      <c r="E87" s="14"/>
      <c r="F87" s="14"/>
      <c r="G87" s="14"/>
      <c r="H87" s="14"/>
    </row>
    <row r="88" customFormat="false" ht="15.75" hidden="false" customHeight="false" outlineLevel="0" collapsed="false">
      <c r="C88" s="14"/>
      <c r="D88" s="14"/>
      <c r="E88" s="14"/>
      <c r="F88" s="14"/>
      <c r="G88" s="14"/>
      <c r="H88" s="14"/>
    </row>
    <row r="89" customFormat="false" ht="15.75" hidden="false" customHeight="false" outlineLevel="0" collapsed="false">
      <c r="C89" s="14"/>
      <c r="D89" s="14"/>
      <c r="E89" s="14"/>
      <c r="F89" s="14"/>
      <c r="G89" s="14"/>
      <c r="H89" s="14"/>
    </row>
    <row r="90" customFormat="false" ht="15.75" hidden="false" customHeight="false" outlineLevel="0" collapsed="false">
      <c r="C90" s="14"/>
      <c r="D90" s="14"/>
      <c r="E90" s="14"/>
      <c r="F90" s="14"/>
      <c r="G90" s="14"/>
      <c r="H90" s="14"/>
    </row>
    <row r="91" customFormat="false" ht="15.75" hidden="false" customHeight="false" outlineLevel="0" collapsed="false">
      <c r="C91" s="14"/>
      <c r="D91" s="14"/>
      <c r="E91" s="14"/>
      <c r="F91" s="14"/>
      <c r="G91" s="14"/>
      <c r="H91" s="14"/>
    </row>
    <row r="92" customFormat="false" ht="15.75" hidden="false" customHeight="false" outlineLevel="0" collapsed="false"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C994" s="14"/>
      <c r="D994" s="14"/>
      <c r="E994" s="14"/>
      <c r="F994" s="14"/>
      <c r="G994" s="14"/>
      <c r="H994" s="14"/>
    </row>
    <row r="995" customFormat="false" ht="15.75" hidden="false" customHeight="false" outlineLevel="0" collapsed="false">
      <c r="C995" s="14"/>
      <c r="D995" s="14"/>
      <c r="E995" s="14"/>
      <c r="F995" s="14"/>
      <c r="G995" s="14"/>
      <c r="H995" s="14"/>
    </row>
    <row r="996" customFormat="false" ht="15.75" hidden="false" customHeight="false" outlineLevel="0" collapsed="false">
      <c r="C996" s="14"/>
      <c r="D996" s="14"/>
      <c r="E996" s="14"/>
      <c r="F996" s="14"/>
      <c r="G996" s="14"/>
      <c r="H996" s="14"/>
    </row>
    <row r="997" customFormat="false" ht="15.75" hidden="false" customHeight="false" outlineLevel="0" collapsed="false">
      <c r="C997" s="14"/>
      <c r="D997" s="14"/>
      <c r="E997" s="14"/>
      <c r="F997" s="14"/>
      <c r="G997" s="14"/>
      <c r="H997" s="14"/>
    </row>
    <row r="998" customFormat="false" ht="15.75" hidden="false" customHeight="false" outlineLevel="0" collapsed="false">
      <c r="C998" s="14"/>
      <c r="D998" s="14"/>
      <c r="E998" s="14"/>
      <c r="F998" s="14"/>
      <c r="G998" s="14"/>
      <c r="H998" s="14"/>
    </row>
    <row r="999" customFormat="false" ht="15.75" hidden="false" customHeight="false" outlineLevel="0" collapsed="false">
      <c r="C999" s="14"/>
      <c r="D999" s="14"/>
      <c r="E999" s="14"/>
      <c r="F999" s="14"/>
      <c r="G999" s="14"/>
      <c r="H999" s="14"/>
    </row>
    <row r="1000" customFormat="false" ht="15.75" hidden="false" customHeight="false" outlineLevel="0" collapsed="false">
      <c r="C1000" s="14"/>
      <c r="D1000" s="14"/>
      <c r="E1000" s="14"/>
      <c r="F1000" s="14"/>
      <c r="G1000" s="14"/>
      <c r="H1000" s="14"/>
    </row>
    <row r="1001" customFormat="false" ht="15.75" hidden="false" customHeight="false" outlineLevel="0" collapsed="false">
      <c r="C1001" s="14"/>
      <c r="D1001" s="14"/>
      <c r="E1001" s="14"/>
      <c r="F1001" s="14"/>
      <c r="G1001" s="14"/>
      <c r="H1001" s="14"/>
    </row>
    <row r="1002" customFormat="false" ht="15.75" hidden="false" customHeight="false" outlineLevel="0" collapsed="false">
      <c r="C1002" s="14"/>
      <c r="D1002" s="14"/>
      <c r="E1002" s="14"/>
      <c r="F1002" s="14"/>
      <c r="G1002" s="14"/>
      <c r="H1002" s="14"/>
    </row>
    <row r="1003" customFormat="false" ht="15.75" hidden="false" customHeight="false" outlineLevel="0" collapsed="false">
      <c r="C1003" s="14"/>
      <c r="D1003" s="14"/>
      <c r="E1003" s="14"/>
      <c r="F1003" s="14"/>
      <c r="G1003" s="14"/>
      <c r="H1003" s="14"/>
    </row>
    <row r="1004" customFormat="false" ht="15.75" hidden="false" customHeight="false" outlineLevel="0" collapsed="false">
      <c r="C1004" s="14"/>
      <c r="D1004" s="14"/>
      <c r="E1004" s="14"/>
      <c r="F1004" s="14"/>
      <c r="G1004" s="14"/>
      <c r="H1004" s="14"/>
    </row>
    <row r="1005" customFormat="false" ht="15.75" hidden="false" customHeight="false" outlineLevel="0" collapsed="false">
      <c r="C1005" s="14"/>
      <c r="D1005" s="14"/>
      <c r="E1005" s="14"/>
      <c r="F1005" s="14"/>
      <c r="G1005" s="14"/>
      <c r="H1005" s="14"/>
    </row>
    <row r="1006" customFormat="false" ht="15.75" hidden="false" customHeight="false" outlineLevel="0" collapsed="false">
      <c r="C1006" s="14"/>
      <c r="D1006" s="14"/>
      <c r="E1006" s="14"/>
      <c r="F1006" s="14"/>
      <c r="G1006" s="14"/>
      <c r="H1006" s="14"/>
    </row>
    <row r="1007" customFormat="false" ht="15.75" hidden="false" customHeight="false" outlineLevel="0" collapsed="false">
      <c r="C1007" s="14"/>
      <c r="D1007" s="14"/>
      <c r="E1007" s="14"/>
      <c r="F1007" s="14"/>
      <c r="G1007" s="14"/>
      <c r="H1007" s="14"/>
    </row>
  </sheetData>
  <mergeCells count="21">
    <mergeCell ref="A2:A7"/>
    <mergeCell ref="F2:F7"/>
    <mergeCell ref="G2:G7"/>
    <mergeCell ref="H2:H7"/>
    <mergeCell ref="A8:A14"/>
    <mergeCell ref="F8:F14"/>
    <mergeCell ref="G8:G14"/>
    <mergeCell ref="H8:H14"/>
    <mergeCell ref="A15:A20"/>
    <mergeCell ref="F15:F20"/>
    <mergeCell ref="G15:G20"/>
    <mergeCell ref="H15:H20"/>
    <mergeCell ref="A21:A26"/>
    <mergeCell ref="F21:F26"/>
    <mergeCell ref="G21:G26"/>
    <mergeCell ref="H21:H26"/>
    <mergeCell ref="A28:C28"/>
    <mergeCell ref="A29:A32"/>
    <mergeCell ref="F29:F32"/>
    <mergeCell ref="G29:G32"/>
    <mergeCell ref="H29:H3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true" outlineLevel="0" collapsed="false">
      <c r="A2" s="22" t="s">
        <v>83</v>
      </c>
      <c r="B2" s="5" t="s">
        <v>84</v>
      </c>
      <c r="C2" s="6" t="n">
        <v>30</v>
      </c>
      <c r="D2" s="6" t="e">
        <f aca="false">#REF!</f>
        <v>#REF!</v>
      </c>
      <c r="E2" s="7" t="e">
        <f aca="false">D2/1000*C2</f>
        <v>#REF!</v>
      </c>
      <c r="F2" s="20" t="e">
        <f aca="false">SUM(E2:E7)</f>
        <v>#REF!</v>
      </c>
      <c r="G2" s="20" t="n">
        <v>750</v>
      </c>
      <c r="H2" s="20" t="e">
        <f aca="false">(G2-F2)/F2*100</f>
        <v>#REF!</v>
      </c>
    </row>
    <row r="3" customFormat="false" ht="15.75" hidden="false" customHeight="false" outlineLevel="0" collapsed="false">
      <c r="A3" s="22"/>
      <c r="B3" s="5" t="s">
        <v>85</v>
      </c>
      <c r="C3" s="6" t="n">
        <v>40</v>
      </c>
      <c r="D3" s="6" t="e">
        <f aca="false">#REF!</f>
        <v>#REF!</v>
      </c>
      <c r="E3" s="7" t="e">
        <f aca="false">D3/1000*C3</f>
        <v>#REF!</v>
      </c>
      <c r="F3" s="20"/>
      <c r="G3" s="20"/>
      <c r="H3" s="20"/>
    </row>
    <row r="4" customFormat="false" ht="15.75" hidden="false" customHeight="false" outlineLevel="0" collapsed="false">
      <c r="A4" s="22"/>
      <c r="B4" s="5" t="s">
        <v>65</v>
      </c>
      <c r="C4" s="6" t="n">
        <v>15</v>
      </c>
      <c r="D4" s="6" t="n">
        <v>420</v>
      </c>
      <c r="E4" s="7" t="n">
        <f aca="false">D4/1000*C4</f>
        <v>6.3</v>
      </c>
      <c r="F4" s="20"/>
      <c r="G4" s="20"/>
      <c r="H4" s="20"/>
    </row>
    <row r="5" customFormat="false" ht="15.75" hidden="false" customHeight="false" outlineLevel="0" collapsed="false">
      <c r="A5" s="22"/>
      <c r="B5" s="5" t="s">
        <v>82</v>
      </c>
      <c r="C5" s="6" t="n">
        <v>40</v>
      </c>
      <c r="D5" s="6" t="e">
        <f aca="false">#REF!</f>
        <v>#REF!</v>
      </c>
      <c r="E5" s="7" t="e">
        <f aca="false">D5/1000*C5</f>
        <v>#REF!</v>
      </c>
      <c r="F5" s="20"/>
      <c r="G5" s="20"/>
      <c r="H5" s="20"/>
    </row>
    <row r="6" customFormat="false" ht="15.75" hidden="false" customHeight="false" outlineLevel="0" collapsed="false">
      <c r="A6" s="22"/>
      <c r="B6" s="5" t="s">
        <v>37</v>
      </c>
      <c r="C6" s="6"/>
      <c r="D6" s="6" t="n">
        <v>10</v>
      </c>
      <c r="E6" s="7" t="n">
        <v>10</v>
      </c>
      <c r="F6" s="20"/>
      <c r="G6" s="20"/>
      <c r="H6" s="20"/>
    </row>
    <row r="7" customFormat="false" ht="15.75" hidden="false" customHeight="false" outlineLevel="0" collapsed="false">
      <c r="A7" s="22"/>
      <c r="B7" s="5"/>
      <c r="C7" s="6"/>
      <c r="D7" s="6"/>
      <c r="E7" s="7" t="n">
        <f aca="false">D7/1000*C7</f>
        <v>0</v>
      </c>
      <c r="F7" s="20"/>
      <c r="G7" s="20"/>
      <c r="H7" s="20"/>
    </row>
    <row r="8" customFormat="false" ht="15.75" hidden="false" customHeight="true" outlineLevel="0" collapsed="false">
      <c r="A8" s="22" t="s">
        <v>86</v>
      </c>
      <c r="B8" s="5" t="s">
        <v>32</v>
      </c>
      <c r="C8" s="6" t="n">
        <v>40</v>
      </c>
      <c r="D8" s="6" t="e">
        <f aca="false">#REF!</f>
        <v>#REF!</v>
      </c>
      <c r="E8" s="7" t="e">
        <f aca="false">D8/1000*C8</f>
        <v>#REF!</v>
      </c>
      <c r="F8" s="15" t="e">
        <f aca="false">SUM(E8:E14)</f>
        <v>#REF!</v>
      </c>
      <c r="G8" s="9" t="n">
        <v>750</v>
      </c>
      <c r="H8" s="9" t="e">
        <f aca="false">(G8-F8)/F8*100</f>
        <v>#REF!</v>
      </c>
    </row>
    <row r="9" customFormat="false" ht="15.75" hidden="false" customHeight="false" outlineLevel="0" collapsed="false">
      <c r="A9" s="22"/>
      <c r="B9" s="5" t="s">
        <v>87</v>
      </c>
      <c r="C9" s="6" t="n">
        <v>40</v>
      </c>
      <c r="D9" s="6" t="e">
        <f aca="false">#REF!</f>
        <v>#REF!</v>
      </c>
      <c r="E9" s="7" t="e">
        <f aca="false">D9/1000*C9</f>
        <v>#REF!</v>
      </c>
      <c r="F9" s="15"/>
      <c r="G9" s="15"/>
      <c r="H9" s="15"/>
    </row>
    <row r="10" customFormat="false" ht="15.75" hidden="false" customHeight="false" outlineLevel="0" collapsed="false">
      <c r="A10" s="22"/>
      <c r="B10" s="5" t="s">
        <v>66</v>
      </c>
      <c r="C10" s="6" t="n">
        <v>40</v>
      </c>
      <c r="D10" s="6" t="n">
        <v>250</v>
      </c>
      <c r="E10" s="7" t="n">
        <f aca="false">D10/1000*C10</f>
        <v>10</v>
      </c>
      <c r="F10" s="15"/>
      <c r="G10" s="15"/>
      <c r="H10" s="15"/>
    </row>
    <row r="11" customFormat="false" ht="15.75" hidden="false" customHeight="false" outlineLevel="0" collapsed="false">
      <c r="A11" s="22"/>
      <c r="B11" s="5" t="s">
        <v>43</v>
      </c>
      <c r="C11" s="6" t="n">
        <v>50</v>
      </c>
      <c r="D11" s="6" t="e">
        <f aca="false">#REF!</f>
        <v>#REF!</v>
      </c>
      <c r="E11" s="7" t="e">
        <f aca="false">D11/1000*C11</f>
        <v>#REF!</v>
      </c>
      <c r="F11" s="15"/>
      <c r="G11" s="15"/>
      <c r="H11" s="15"/>
    </row>
    <row r="12" customFormat="false" ht="15.75" hidden="false" customHeight="false" outlineLevel="0" collapsed="false">
      <c r="A12" s="22"/>
      <c r="B12" s="5" t="s">
        <v>88</v>
      </c>
      <c r="C12" s="6" t="n">
        <v>50</v>
      </c>
      <c r="D12" s="6" t="e">
        <f aca="false">#REF!</f>
        <v>#REF!</v>
      </c>
      <c r="E12" s="7" t="e">
        <f aca="false">D12/1000*C12</f>
        <v>#REF!</v>
      </c>
      <c r="F12" s="15"/>
      <c r="G12" s="15"/>
      <c r="H12" s="15"/>
    </row>
    <row r="13" customFormat="false" ht="15.75" hidden="false" customHeight="false" outlineLevel="0" collapsed="false">
      <c r="A13" s="22"/>
      <c r="B13" s="5" t="s">
        <v>89</v>
      </c>
      <c r="C13" s="6"/>
      <c r="D13" s="6" t="n">
        <v>10</v>
      </c>
      <c r="E13" s="7" t="n">
        <v>10</v>
      </c>
      <c r="F13" s="15"/>
      <c r="G13" s="15"/>
      <c r="H13" s="15"/>
    </row>
    <row r="14" customFormat="false" ht="15.75" hidden="false" customHeight="false" outlineLevel="0" collapsed="false">
      <c r="A14" s="22"/>
      <c r="B14" s="5"/>
      <c r="C14" s="6"/>
      <c r="D14" s="6"/>
      <c r="E14" s="7" t="n">
        <f aca="false">D14/1000*C14</f>
        <v>0</v>
      </c>
      <c r="F14" s="15"/>
      <c r="G14" s="15"/>
      <c r="H14" s="15"/>
    </row>
    <row r="15" customFormat="false" ht="15.75" hidden="false" customHeight="true" outlineLevel="0" collapsed="false">
      <c r="A15" s="22" t="s">
        <v>90</v>
      </c>
      <c r="B15" s="5" t="s">
        <v>32</v>
      </c>
      <c r="C15" s="6" t="n">
        <v>40</v>
      </c>
      <c r="D15" s="6" t="e">
        <f aca="false">#REF!</f>
        <v>#REF!</v>
      </c>
      <c r="E15" s="7" t="e">
        <f aca="false">D15/1000*C15</f>
        <v>#REF!</v>
      </c>
      <c r="F15" s="15" t="e">
        <f aca="false">SUM(E15:E20)</f>
        <v>#REF!</v>
      </c>
      <c r="G15" s="9" t="n">
        <v>750</v>
      </c>
      <c r="H15" s="9" t="e">
        <f aca="false">(G15-F15)/F15*100</f>
        <v>#REF!</v>
      </c>
    </row>
    <row r="16" customFormat="false" ht="15.75" hidden="false" customHeight="false" outlineLevel="0" collapsed="false">
      <c r="A16" s="22"/>
      <c r="B16" s="5" t="s">
        <v>39</v>
      </c>
      <c r="C16" s="6" t="n">
        <v>20</v>
      </c>
      <c r="D16" s="6" t="e">
        <f aca="false">#REF!</f>
        <v>#REF!</v>
      </c>
      <c r="E16" s="7" t="e">
        <f aca="false">D16/1000*C16</f>
        <v>#REF!</v>
      </c>
      <c r="F16" s="15"/>
      <c r="G16" s="15"/>
      <c r="H16" s="15"/>
    </row>
    <row r="17" customFormat="false" ht="15.75" hidden="false" customHeight="false" outlineLevel="0" collapsed="false">
      <c r="A17" s="22"/>
      <c r="B17" s="5" t="s">
        <v>91</v>
      </c>
      <c r="C17" s="6" t="n">
        <v>20</v>
      </c>
      <c r="D17" s="6" t="e">
        <f aca="false">#REF!</f>
        <v>#REF!</v>
      </c>
      <c r="E17" s="7" t="e">
        <f aca="false">D17/1000*C17</f>
        <v>#REF!</v>
      </c>
      <c r="F17" s="15"/>
      <c r="G17" s="15"/>
      <c r="H17" s="15"/>
    </row>
    <row r="18" customFormat="false" ht="15.75" hidden="false" customHeight="false" outlineLevel="0" collapsed="false">
      <c r="A18" s="22"/>
      <c r="B18" s="5" t="s">
        <v>66</v>
      </c>
      <c r="C18" s="6" t="n">
        <v>40</v>
      </c>
      <c r="D18" s="6" t="n">
        <v>250</v>
      </c>
      <c r="E18" s="7" t="n">
        <f aca="false">D18/1000*C18</f>
        <v>10</v>
      </c>
      <c r="F18" s="15"/>
      <c r="G18" s="15"/>
      <c r="H18" s="15"/>
    </row>
    <row r="19" customFormat="false" ht="15.75" hidden="false" customHeight="false" outlineLevel="0" collapsed="false">
      <c r="A19" s="22"/>
      <c r="B19" s="5" t="s">
        <v>92</v>
      </c>
      <c r="C19" s="6" t="n">
        <v>20</v>
      </c>
      <c r="D19" s="6" t="e">
        <f aca="false">#REF!</f>
        <v>#REF!</v>
      </c>
      <c r="E19" s="7" t="e">
        <f aca="false">D19/1000*C19</f>
        <v>#REF!</v>
      </c>
      <c r="F19" s="15"/>
      <c r="G19" s="15"/>
      <c r="H19" s="15"/>
    </row>
    <row r="20" customFormat="false" ht="15.75" hidden="false" customHeight="false" outlineLevel="0" collapsed="false">
      <c r="A20" s="22"/>
      <c r="B20" s="5" t="s">
        <v>37</v>
      </c>
      <c r="C20" s="6"/>
      <c r="D20" s="6" t="n">
        <v>10</v>
      </c>
      <c r="E20" s="7" t="n">
        <v>10</v>
      </c>
      <c r="F20" s="15"/>
      <c r="G20" s="15"/>
      <c r="H20" s="15"/>
    </row>
    <row r="21" customFormat="false" ht="15.75" hidden="false" customHeight="false" outlineLevel="0" collapsed="false">
      <c r="A21" s="23"/>
      <c r="B21" s="24"/>
      <c r="C21" s="18"/>
      <c r="D21" s="18"/>
      <c r="E21" s="25"/>
      <c r="F21" s="18"/>
      <c r="G21" s="18"/>
      <c r="H21" s="1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.75" hidden="false" customHeight="false" outlineLevel="0" collapsed="false">
      <c r="A22" s="3" t="s">
        <v>51</v>
      </c>
      <c r="B22" s="3"/>
      <c r="C22" s="3"/>
      <c r="D22" s="6"/>
      <c r="E22" s="7"/>
      <c r="F22" s="6"/>
      <c r="G22" s="6"/>
      <c r="H22" s="6"/>
    </row>
    <row r="23" customFormat="false" ht="15.75" hidden="false" customHeight="true" outlineLevel="0" collapsed="false">
      <c r="A23" s="22" t="s">
        <v>93</v>
      </c>
      <c r="B23" s="6" t="s">
        <v>32</v>
      </c>
      <c r="C23" s="6" t="n">
        <v>40</v>
      </c>
      <c r="D23" s="6" t="e">
        <f aca="false">#REF!</f>
        <v>#REF!</v>
      </c>
      <c r="E23" s="7" t="e">
        <f aca="false">D23/1000*C23</f>
        <v>#REF!</v>
      </c>
      <c r="F23" s="15" t="e">
        <f aca="false">SUM(E23:E28)</f>
        <v>#REF!</v>
      </c>
      <c r="G23" s="9" t="n">
        <v>1100</v>
      </c>
      <c r="H23" s="9" t="e">
        <f aca="false">(G23-F23)/F23*100</f>
        <v>#REF!</v>
      </c>
    </row>
    <row r="24" customFormat="false" ht="15.75" hidden="false" customHeight="false" outlineLevel="0" collapsed="false">
      <c r="A24" s="22"/>
      <c r="B24" s="21" t="s">
        <v>94</v>
      </c>
      <c r="C24" s="6" t="n">
        <v>30</v>
      </c>
      <c r="D24" s="6" t="e">
        <f aca="false">#REF!</f>
        <v>#REF!</v>
      </c>
      <c r="E24" s="7" t="e">
        <f aca="false">D24/1000*C24</f>
        <v>#REF!</v>
      </c>
      <c r="F24" s="15"/>
      <c r="G24" s="15"/>
      <c r="H24" s="15"/>
    </row>
    <row r="25" customFormat="false" ht="15.75" hidden="false" customHeight="false" outlineLevel="0" collapsed="false">
      <c r="A25" s="22"/>
      <c r="B25" s="21" t="s">
        <v>95</v>
      </c>
      <c r="C25" s="6" t="n">
        <v>30</v>
      </c>
      <c r="D25" s="6" t="e">
        <f aca="false">#REF!</f>
        <v>#REF!</v>
      </c>
      <c r="E25" s="7" t="e">
        <f aca="false">D25/1000*C25</f>
        <v>#REF!</v>
      </c>
      <c r="F25" s="15"/>
      <c r="G25" s="15"/>
      <c r="H25" s="15"/>
    </row>
    <row r="26" customFormat="false" ht="15.75" hidden="false" customHeight="false" outlineLevel="0" collapsed="false">
      <c r="A26" s="22"/>
      <c r="B26" s="21" t="s">
        <v>82</v>
      </c>
      <c r="C26" s="6" t="n">
        <v>40</v>
      </c>
      <c r="D26" s="6" t="e">
        <f aca="false">#REF!</f>
        <v>#REF!</v>
      </c>
      <c r="E26" s="7" t="e">
        <f aca="false">D26/1000*C26</f>
        <v>#REF!</v>
      </c>
      <c r="F26" s="15"/>
      <c r="G26" s="15"/>
      <c r="H26" s="15"/>
    </row>
    <row r="27" customFormat="false" ht="15.75" hidden="false" customHeight="false" outlineLevel="0" collapsed="false">
      <c r="A27" s="22"/>
      <c r="B27" s="21" t="s">
        <v>59</v>
      </c>
      <c r="C27" s="6" t="n">
        <v>20</v>
      </c>
      <c r="D27" s="6" t="e">
        <f aca="false">#REF!</f>
        <v>#REF!</v>
      </c>
      <c r="E27" s="7" t="e">
        <f aca="false">D27/1000*C27</f>
        <v>#REF!</v>
      </c>
      <c r="F27" s="15"/>
      <c r="G27" s="15"/>
      <c r="H27" s="15"/>
    </row>
    <row r="28" customFormat="false" ht="15.75" hidden="false" customHeight="false" outlineLevel="0" collapsed="false">
      <c r="A28" s="22"/>
      <c r="B28" s="21"/>
      <c r="C28" s="6"/>
      <c r="D28" s="6"/>
      <c r="E28" s="7" t="n">
        <f aca="false">D28/1000*C28</f>
        <v>0</v>
      </c>
      <c r="F28" s="15"/>
      <c r="G28" s="15"/>
      <c r="H28" s="15"/>
    </row>
    <row r="29" customFormat="false" ht="15.75" hidden="false" customHeight="false" outlineLevel="0" collapsed="false">
      <c r="C29" s="14"/>
      <c r="D29" s="14"/>
      <c r="E29" s="14"/>
      <c r="F29" s="14"/>
      <c r="G29" s="14"/>
      <c r="H29" s="14"/>
    </row>
    <row r="30" customFormat="false" ht="15.75" hidden="false" customHeight="false" outlineLevel="0" collapsed="false">
      <c r="C30" s="14"/>
      <c r="D30" s="14"/>
      <c r="E30" s="14"/>
      <c r="F30" s="14"/>
      <c r="G30" s="14"/>
      <c r="H30" s="14"/>
    </row>
    <row r="31" customFormat="false" ht="15.75" hidden="false" customHeight="false" outlineLevel="0" collapsed="false">
      <c r="C31" s="14"/>
      <c r="D31" s="14"/>
      <c r="E31" s="14"/>
      <c r="F31" s="14"/>
      <c r="G31" s="14"/>
      <c r="H31" s="14"/>
    </row>
    <row r="32" customFormat="false" ht="15.75" hidden="false" customHeight="false" outlineLevel="0" collapsed="false">
      <c r="C32" s="14"/>
      <c r="D32" s="14"/>
      <c r="E32" s="14"/>
      <c r="F32" s="14"/>
      <c r="G32" s="14"/>
      <c r="H32" s="14"/>
    </row>
    <row r="33" customFormat="false" ht="15.75" hidden="false" customHeight="false" outlineLevel="0" collapsed="false">
      <c r="C33" s="14"/>
      <c r="D33" s="14"/>
      <c r="E33" s="14"/>
      <c r="F33" s="14"/>
      <c r="G33" s="14"/>
      <c r="H33" s="14"/>
    </row>
    <row r="34" customFormat="false" ht="15.75" hidden="false" customHeight="false" outlineLevel="0" collapsed="false">
      <c r="C34" s="14"/>
      <c r="D34" s="14"/>
      <c r="E34" s="14"/>
      <c r="F34" s="14"/>
      <c r="G34" s="14"/>
      <c r="H34" s="14"/>
    </row>
    <row r="35" customFormat="false" ht="15.75" hidden="false" customHeight="false" outlineLevel="0" collapsed="false">
      <c r="C35" s="14"/>
      <c r="D35" s="14"/>
      <c r="E35" s="14"/>
      <c r="F35" s="14"/>
      <c r="G35" s="14"/>
      <c r="H35" s="14"/>
    </row>
    <row r="36" customFormat="false" ht="15.75" hidden="false" customHeight="false" outlineLevel="0" collapsed="false">
      <c r="C36" s="14"/>
      <c r="D36" s="14"/>
      <c r="E36" s="14"/>
      <c r="F36" s="14"/>
      <c r="G36" s="14"/>
      <c r="H36" s="14"/>
    </row>
    <row r="37" customFormat="false" ht="15.75" hidden="false" customHeight="false" outlineLevel="0" collapsed="false">
      <c r="C37" s="14"/>
      <c r="D37" s="14"/>
      <c r="E37" s="14"/>
      <c r="F37" s="14"/>
      <c r="G37" s="14"/>
      <c r="H37" s="14"/>
    </row>
    <row r="38" customFormat="false" ht="15.75" hidden="false" customHeight="false" outlineLevel="0" collapsed="false">
      <c r="C38" s="14"/>
      <c r="D38" s="14"/>
      <c r="E38" s="14"/>
      <c r="F38" s="14"/>
      <c r="G38" s="14"/>
      <c r="H38" s="14"/>
    </row>
    <row r="39" customFormat="false" ht="15.75" hidden="false" customHeight="false" outlineLevel="0" collapsed="false">
      <c r="C39" s="14"/>
      <c r="D39" s="14"/>
      <c r="E39" s="14"/>
      <c r="F39" s="14"/>
      <c r="G39" s="14"/>
      <c r="H39" s="14"/>
    </row>
    <row r="40" customFormat="false" ht="15.75" hidden="false" customHeight="false" outlineLevel="0" collapsed="false">
      <c r="C40" s="14"/>
      <c r="D40" s="14"/>
      <c r="E40" s="14"/>
      <c r="F40" s="14"/>
      <c r="G40" s="14"/>
      <c r="H40" s="14"/>
    </row>
    <row r="41" customFormat="false" ht="15.75" hidden="false" customHeight="false" outlineLevel="0" collapsed="false">
      <c r="C41" s="14"/>
      <c r="D41" s="14"/>
      <c r="E41" s="14"/>
      <c r="F41" s="14"/>
      <c r="G41" s="14"/>
      <c r="H41" s="14"/>
    </row>
    <row r="42" customFormat="false" ht="15.75" hidden="false" customHeight="false" outlineLevel="0" collapsed="false">
      <c r="C42" s="14"/>
      <c r="D42" s="14"/>
      <c r="E42" s="14"/>
      <c r="F42" s="14"/>
      <c r="G42" s="14"/>
      <c r="H42" s="14"/>
    </row>
    <row r="43" customFormat="false" ht="15.75" hidden="false" customHeight="false" outlineLevel="0" collapsed="false">
      <c r="C43" s="14"/>
      <c r="D43" s="14"/>
      <c r="E43" s="14"/>
      <c r="F43" s="14"/>
      <c r="G43" s="14"/>
      <c r="H43" s="14"/>
    </row>
    <row r="44" customFormat="false" ht="15.75" hidden="false" customHeight="false" outlineLevel="0" collapsed="false">
      <c r="C44" s="14"/>
      <c r="D44" s="14"/>
      <c r="E44" s="14"/>
      <c r="F44" s="14"/>
      <c r="G44" s="14"/>
      <c r="H44" s="14"/>
    </row>
    <row r="45" customFormat="false" ht="15.75" hidden="false" customHeight="false" outlineLevel="0" collapsed="false">
      <c r="C45" s="14"/>
      <c r="D45" s="14"/>
      <c r="E45" s="14"/>
      <c r="F45" s="14"/>
      <c r="G45" s="14"/>
      <c r="H45" s="14"/>
    </row>
    <row r="46" customFormat="false" ht="15.75" hidden="false" customHeight="false" outlineLevel="0" collapsed="false">
      <c r="C46" s="14"/>
      <c r="D46" s="14"/>
      <c r="E46" s="14"/>
      <c r="F46" s="14"/>
      <c r="G46" s="14"/>
      <c r="H46" s="14"/>
    </row>
    <row r="47" customFormat="false" ht="15.75" hidden="false" customHeight="false" outlineLevel="0" collapsed="false">
      <c r="C47" s="14"/>
      <c r="D47" s="14"/>
      <c r="E47" s="14"/>
      <c r="F47" s="14"/>
      <c r="G47" s="14"/>
      <c r="H47" s="14"/>
    </row>
    <row r="48" customFormat="false" ht="15.75" hidden="false" customHeight="false" outlineLevel="0" collapsed="false">
      <c r="C48" s="14"/>
      <c r="D48" s="14"/>
      <c r="E48" s="14"/>
      <c r="F48" s="14"/>
      <c r="G48" s="14"/>
      <c r="H48" s="14"/>
    </row>
    <row r="49" customFormat="false" ht="15.75" hidden="false" customHeight="false" outlineLevel="0" collapsed="false">
      <c r="C49" s="14"/>
      <c r="D49" s="14"/>
      <c r="E49" s="14"/>
      <c r="F49" s="14"/>
      <c r="G49" s="14"/>
      <c r="H49" s="14"/>
    </row>
    <row r="50" customFormat="false" ht="15.75" hidden="false" customHeight="false" outlineLevel="0" collapsed="false">
      <c r="C50" s="14"/>
      <c r="D50" s="14"/>
      <c r="E50" s="14"/>
      <c r="F50" s="14"/>
      <c r="G50" s="14"/>
      <c r="H50" s="14"/>
    </row>
    <row r="51" customFormat="false" ht="15.75" hidden="false" customHeight="false" outlineLevel="0" collapsed="false">
      <c r="C51" s="14"/>
      <c r="D51" s="14"/>
      <c r="E51" s="14"/>
      <c r="F51" s="14"/>
      <c r="G51" s="14"/>
      <c r="H51" s="14"/>
    </row>
    <row r="52" customFormat="false" ht="15.75" hidden="false" customHeight="false" outlineLevel="0" collapsed="false">
      <c r="C52" s="14"/>
      <c r="D52" s="14"/>
      <c r="E52" s="14"/>
      <c r="F52" s="14"/>
      <c r="G52" s="14"/>
      <c r="H52" s="14"/>
    </row>
    <row r="53" customFormat="false" ht="15.75" hidden="false" customHeight="false" outlineLevel="0" collapsed="false">
      <c r="C53" s="14"/>
      <c r="D53" s="14"/>
      <c r="E53" s="14"/>
      <c r="F53" s="14"/>
      <c r="G53" s="14"/>
      <c r="H53" s="14"/>
    </row>
    <row r="54" customFormat="false" ht="15.75" hidden="false" customHeight="false" outlineLevel="0" collapsed="false">
      <c r="C54" s="14"/>
      <c r="D54" s="14"/>
      <c r="E54" s="14"/>
      <c r="F54" s="14"/>
      <c r="G54" s="14"/>
      <c r="H54" s="14"/>
    </row>
    <row r="55" customFormat="false" ht="15.75" hidden="false" customHeight="false" outlineLevel="0" collapsed="false">
      <c r="C55" s="14"/>
      <c r="D55" s="14"/>
      <c r="E55" s="14"/>
      <c r="F55" s="14"/>
      <c r="G55" s="14"/>
      <c r="H55" s="14"/>
    </row>
    <row r="56" customFormat="false" ht="15.75" hidden="false" customHeight="false" outlineLevel="0" collapsed="false">
      <c r="C56" s="14"/>
      <c r="D56" s="14"/>
      <c r="E56" s="14"/>
      <c r="F56" s="14"/>
      <c r="G56" s="14"/>
      <c r="H56" s="14"/>
    </row>
    <row r="57" customFormat="false" ht="15.75" hidden="false" customHeight="false" outlineLevel="0" collapsed="false">
      <c r="C57" s="14"/>
      <c r="D57" s="14"/>
      <c r="E57" s="14"/>
      <c r="F57" s="14"/>
      <c r="G57" s="14"/>
      <c r="H57" s="14"/>
    </row>
    <row r="58" customFormat="false" ht="15.75" hidden="false" customHeight="false" outlineLevel="0" collapsed="false">
      <c r="C58" s="14"/>
      <c r="D58" s="14"/>
      <c r="E58" s="14"/>
      <c r="F58" s="14"/>
      <c r="G58" s="14"/>
      <c r="H58" s="14"/>
    </row>
    <row r="59" customFormat="false" ht="15.75" hidden="false" customHeight="false" outlineLevel="0" collapsed="false">
      <c r="C59" s="14"/>
      <c r="D59" s="14"/>
      <c r="E59" s="14"/>
      <c r="F59" s="14"/>
      <c r="G59" s="14"/>
      <c r="H59" s="14"/>
    </row>
    <row r="60" customFormat="false" ht="15.75" hidden="false" customHeight="false" outlineLevel="0" collapsed="false">
      <c r="C60" s="14"/>
      <c r="D60" s="14"/>
      <c r="E60" s="14"/>
      <c r="F60" s="14"/>
      <c r="G60" s="14"/>
      <c r="H60" s="14"/>
    </row>
    <row r="61" customFormat="false" ht="15.75" hidden="false" customHeight="false" outlineLevel="0" collapsed="false">
      <c r="C61" s="14"/>
      <c r="D61" s="14"/>
      <c r="E61" s="14"/>
      <c r="F61" s="14"/>
      <c r="G61" s="14"/>
      <c r="H61" s="14"/>
    </row>
    <row r="62" customFormat="false" ht="15.75" hidden="false" customHeight="false" outlineLevel="0" collapsed="false">
      <c r="C62" s="14"/>
      <c r="D62" s="14"/>
      <c r="E62" s="14"/>
      <c r="F62" s="14"/>
      <c r="G62" s="14"/>
      <c r="H62" s="14"/>
    </row>
    <row r="63" customFormat="false" ht="15.75" hidden="false" customHeight="false" outlineLevel="0" collapsed="false">
      <c r="C63" s="14"/>
      <c r="D63" s="14"/>
      <c r="E63" s="14"/>
      <c r="F63" s="14"/>
      <c r="G63" s="14"/>
      <c r="H63" s="14"/>
    </row>
    <row r="64" customFormat="false" ht="15.75" hidden="false" customHeight="false" outlineLevel="0" collapsed="false">
      <c r="C64" s="14"/>
      <c r="D64" s="14"/>
      <c r="E64" s="14"/>
      <c r="F64" s="14"/>
      <c r="G64" s="14"/>
      <c r="H64" s="14"/>
    </row>
    <row r="65" customFormat="false" ht="15.75" hidden="false" customHeight="false" outlineLevel="0" collapsed="false">
      <c r="C65" s="14"/>
      <c r="D65" s="14"/>
      <c r="E65" s="14"/>
      <c r="F65" s="14"/>
      <c r="G65" s="14"/>
      <c r="H65" s="14"/>
    </row>
    <row r="66" customFormat="false" ht="15.75" hidden="false" customHeight="false" outlineLevel="0" collapsed="false">
      <c r="C66" s="14"/>
      <c r="D66" s="14"/>
      <c r="E66" s="14"/>
      <c r="F66" s="14"/>
      <c r="G66" s="14"/>
      <c r="H66" s="14"/>
    </row>
    <row r="67" customFormat="false" ht="15.75" hidden="false" customHeight="false" outlineLevel="0" collapsed="false">
      <c r="C67" s="14"/>
      <c r="D67" s="14"/>
      <c r="E67" s="14"/>
      <c r="F67" s="14"/>
      <c r="G67" s="14"/>
      <c r="H67" s="14"/>
    </row>
    <row r="68" customFormat="false" ht="15.75" hidden="false" customHeight="false" outlineLevel="0" collapsed="false">
      <c r="C68" s="14"/>
      <c r="D68" s="14"/>
      <c r="E68" s="14"/>
      <c r="F68" s="14"/>
      <c r="G68" s="14"/>
      <c r="H68" s="14"/>
    </row>
    <row r="69" customFormat="false" ht="15.75" hidden="false" customHeight="false" outlineLevel="0" collapsed="false">
      <c r="C69" s="14"/>
      <c r="D69" s="14"/>
      <c r="E69" s="14"/>
      <c r="F69" s="14"/>
      <c r="G69" s="14"/>
      <c r="H69" s="14"/>
    </row>
    <row r="70" customFormat="false" ht="15.75" hidden="false" customHeight="false" outlineLevel="0" collapsed="false">
      <c r="C70" s="14"/>
      <c r="D70" s="14"/>
      <c r="E70" s="14"/>
      <c r="F70" s="14"/>
      <c r="G70" s="14"/>
      <c r="H70" s="14"/>
    </row>
    <row r="71" customFormat="false" ht="15.75" hidden="false" customHeight="false" outlineLevel="0" collapsed="false">
      <c r="C71" s="14"/>
      <c r="D71" s="14"/>
      <c r="E71" s="14"/>
      <c r="F71" s="14"/>
      <c r="G71" s="14"/>
      <c r="H71" s="14"/>
    </row>
    <row r="72" customFormat="false" ht="15.75" hidden="false" customHeight="false" outlineLevel="0" collapsed="false">
      <c r="C72" s="14"/>
      <c r="D72" s="14"/>
      <c r="E72" s="14"/>
      <c r="F72" s="14"/>
      <c r="G72" s="14"/>
      <c r="H72" s="14"/>
    </row>
    <row r="73" customFormat="false" ht="15.75" hidden="false" customHeight="false" outlineLevel="0" collapsed="false">
      <c r="C73" s="14"/>
      <c r="D73" s="14"/>
      <c r="E73" s="14"/>
      <c r="F73" s="14"/>
      <c r="G73" s="14"/>
      <c r="H73" s="14"/>
    </row>
    <row r="74" customFormat="false" ht="15.75" hidden="false" customHeight="false" outlineLevel="0" collapsed="false">
      <c r="C74" s="14"/>
      <c r="D74" s="14"/>
      <c r="E74" s="14"/>
      <c r="F74" s="14"/>
      <c r="G74" s="14"/>
      <c r="H74" s="14"/>
    </row>
    <row r="75" customFormat="false" ht="15.75" hidden="false" customHeight="false" outlineLevel="0" collapsed="false">
      <c r="C75" s="14"/>
      <c r="D75" s="14"/>
      <c r="E75" s="14"/>
      <c r="F75" s="14"/>
      <c r="G75" s="14"/>
      <c r="H75" s="14"/>
    </row>
    <row r="76" customFormat="false" ht="15.75" hidden="false" customHeight="false" outlineLevel="0" collapsed="false">
      <c r="C76" s="14"/>
      <c r="D76" s="14"/>
      <c r="E76" s="14"/>
      <c r="F76" s="14"/>
      <c r="G76" s="14"/>
      <c r="H76" s="14"/>
    </row>
    <row r="77" customFormat="false" ht="15.75" hidden="false" customHeight="false" outlineLevel="0" collapsed="false">
      <c r="C77" s="14"/>
      <c r="D77" s="14"/>
      <c r="E77" s="14"/>
      <c r="F77" s="14"/>
      <c r="G77" s="14"/>
      <c r="H77" s="14"/>
    </row>
    <row r="78" customFormat="false" ht="15.75" hidden="false" customHeight="false" outlineLevel="0" collapsed="false">
      <c r="C78" s="14"/>
      <c r="D78" s="14"/>
      <c r="E78" s="14"/>
      <c r="F78" s="14"/>
      <c r="G78" s="14"/>
      <c r="H78" s="14"/>
    </row>
    <row r="79" customFormat="false" ht="15.75" hidden="false" customHeight="false" outlineLevel="0" collapsed="false">
      <c r="C79" s="14"/>
      <c r="D79" s="14"/>
      <c r="E79" s="14"/>
      <c r="F79" s="14"/>
      <c r="G79" s="14"/>
      <c r="H79" s="14"/>
    </row>
    <row r="80" customFormat="false" ht="15.75" hidden="false" customHeight="false" outlineLevel="0" collapsed="false">
      <c r="C80" s="14"/>
      <c r="D80" s="14"/>
      <c r="E80" s="14"/>
      <c r="F80" s="14"/>
      <c r="G80" s="14"/>
      <c r="H80" s="14"/>
    </row>
    <row r="81" customFormat="false" ht="15.75" hidden="false" customHeight="false" outlineLevel="0" collapsed="false">
      <c r="C81" s="14"/>
      <c r="D81" s="14"/>
      <c r="E81" s="14"/>
      <c r="F81" s="14"/>
      <c r="G81" s="14"/>
      <c r="H81" s="14"/>
    </row>
    <row r="82" customFormat="false" ht="15.75" hidden="false" customHeight="false" outlineLevel="0" collapsed="false">
      <c r="C82" s="14"/>
      <c r="D82" s="14"/>
      <c r="E82" s="14"/>
      <c r="F82" s="14"/>
      <c r="G82" s="14"/>
      <c r="H82" s="14"/>
    </row>
    <row r="83" customFormat="false" ht="15.75" hidden="false" customHeight="false" outlineLevel="0" collapsed="false">
      <c r="C83" s="14"/>
      <c r="D83" s="14"/>
      <c r="E83" s="14"/>
      <c r="F83" s="14"/>
      <c r="G83" s="14"/>
      <c r="H83" s="14"/>
    </row>
    <row r="84" customFormat="false" ht="15.75" hidden="false" customHeight="false" outlineLevel="0" collapsed="false">
      <c r="C84" s="14"/>
      <c r="D84" s="14"/>
      <c r="E84" s="14"/>
      <c r="F84" s="14"/>
      <c r="G84" s="14"/>
      <c r="H84" s="14"/>
    </row>
    <row r="85" customFormat="false" ht="15.75" hidden="false" customHeight="false" outlineLevel="0" collapsed="false">
      <c r="C85" s="14"/>
      <c r="D85" s="14"/>
      <c r="E85" s="14"/>
      <c r="F85" s="14"/>
      <c r="G85" s="14"/>
      <c r="H85" s="14"/>
    </row>
    <row r="86" customFormat="false" ht="15.75" hidden="false" customHeight="false" outlineLevel="0" collapsed="false">
      <c r="C86" s="14"/>
      <c r="D86" s="14"/>
      <c r="E86" s="14"/>
      <c r="F86" s="14"/>
      <c r="G86" s="14"/>
      <c r="H86" s="14"/>
    </row>
    <row r="87" customFormat="false" ht="15.75" hidden="false" customHeight="false" outlineLevel="0" collapsed="false">
      <c r="C87" s="14"/>
      <c r="D87" s="14"/>
      <c r="E87" s="14"/>
      <c r="F87" s="14"/>
      <c r="G87" s="14"/>
      <c r="H87" s="14"/>
    </row>
    <row r="88" customFormat="false" ht="15.75" hidden="false" customHeight="false" outlineLevel="0" collapsed="false">
      <c r="C88" s="14"/>
      <c r="D88" s="14"/>
      <c r="E88" s="14"/>
      <c r="F88" s="14"/>
      <c r="G88" s="14"/>
      <c r="H88" s="14"/>
    </row>
    <row r="89" customFormat="false" ht="15.75" hidden="false" customHeight="false" outlineLevel="0" collapsed="false">
      <c r="C89" s="14"/>
      <c r="D89" s="14"/>
      <c r="E89" s="14"/>
      <c r="F89" s="14"/>
      <c r="G89" s="14"/>
      <c r="H89" s="14"/>
    </row>
    <row r="90" customFormat="false" ht="15.75" hidden="false" customHeight="false" outlineLevel="0" collapsed="false">
      <c r="C90" s="14"/>
      <c r="D90" s="14"/>
      <c r="E90" s="14"/>
      <c r="F90" s="14"/>
      <c r="G90" s="14"/>
      <c r="H90" s="14"/>
    </row>
    <row r="91" customFormat="false" ht="15.75" hidden="false" customHeight="false" outlineLevel="0" collapsed="false">
      <c r="C91" s="14"/>
      <c r="D91" s="14"/>
      <c r="E91" s="14"/>
      <c r="F91" s="14"/>
      <c r="G91" s="14"/>
      <c r="H91" s="14"/>
    </row>
    <row r="92" customFormat="false" ht="15.75" hidden="false" customHeight="false" outlineLevel="0" collapsed="false"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C994" s="14"/>
      <c r="D994" s="14"/>
      <c r="E994" s="14"/>
      <c r="F994" s="14"/>
      <c r="G994" s="14"/>
      <c r="H994" s="14"/>
    </row>
    <row r="995" customFormat="false" ht="15.75" hidden="false" customHeight="false" outlineLevel="0" collapsed="false">
      <c r="C995" s="14"/>
      <c r="D995" s="14"/>
      <c r="E995" s="14"/>
      <c r="F995" s="14"/>
      <c r="G995" s="14"/>
      <c r="H995" s="14"/>
    </row>
    <row r="996" customFormat="false" ht="15.75" hidden="false" customHeight="false" outlineLevel="0" collapsed="false">
      <c r="C996" s="14"/>
      <c r="D996" s="14"/>
      <c r="E996" s="14"/>
      <c r="F996" s="14"/>
      <c r="G996" s="14"/>
      <c r="H996" s="14"/>
    </row>
    <row r="997" customFormat="false" ht="15.75" hidden="false" customHeight="false" outlineLevel="0" collapsed="false">
      <c r="C997" s="14"/>
      <c r="D997" s="14"/>
      <c r="E997" s="14"/>
      <c r="F997" s="14"/>
      <c r="G997" s="14"/>
      <c r="H997" s="14"/>
    </row>
    <row r="998" customFormat="false" ht="15.75" hidden="false" customHeight="false" outlineLevel="0" collapsed="false">
      <c r="C998" s="14"/>
      <c r="D998" s="14"/>
      <c r="E998" s="14"/>
      <c r="F998" s="14"/>
      <c r="G998" s="14"/>
      <c r="H998" s="14"/>
    </row>
  </sheetData>
  <mergeCells count="17">
    <mergeCell ref="A2:A7"/>
    <mergeCell ref="F2:F7"/>
    <mergeCell ref="G2:G7"/>
    <mergeCell ref="H2:H7"/>
    <mergeCell ref="A8:A14"/>
    <mergeCell ref="F8:F14"/>
    <mergeCell ref="G8:G14"/>
    <mergeCell ref="H8:H14"/>
    <mergeCell ref="A15:A20"/>
    <mergeCell ref="F15:F20"/>
    <mergeCell ref="G15:G20"/>
    <mergeCell ref="H15:H20"/>
    <mergeCell ref="A22:C22"/>
    <mergeCell ref="A23:A28"/>
    <mergeCell ref="F23:F28"/>
    <mergeCell ref="G23:G28"/>
    <mergeCell ref="H23:H28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96</v>
      </c>
      <c r="B2" s="5" t="s">
        <v>97</v>
      </c>
      <c r="C2" s="6" t="n">
        <v>40</v>
      </c>
      <c r="D2" s="6" t="e">
        <f aca="false">#REF!</f>
        <v>#REF!</v>
      </c>
      <c r="E2" s="7" t="e">
        <f aca="false">D2/1000*C2</f>
        <v>#REF!</v>
      </c>
      <c r="F2" s="20" t="e">
        <f aca="false">SUM(E2:E7)</f>
        <v>#REF!</v>
      </c>
      <c r="G2" s="20" t="n">
        <v>700</v>
      </c>
      <c r="H2" s="20" t="e">
        <f aca="false">(G2-F2)/F2*100</f>
        <v>#REF!</v>
      </c>
    </row>
    <row r="3" customFormat="false" ht="15.75" hidden="false" customHeight="false" outlineLevel="0" collapsed="false">
      <c r="A3" s="4"/>
      <c r="B3" s="5" t="s">
        <v>75</v>
      </c>
      <c r="C3" s="6" t="n">
        <v>20</v>
      </c>
      <c r="D3" s="6" t="e">
        <f aca="false">#REF!</f>
        <v>#REF!</v>
      </c>
      <c r="E3" s="7" t="e">
        <f aca="false">D3/1000*C3</f>
        <v>#REF!</v>
      </c>
      <c r="F3" s="20"/>
      <c r="G3" s="20"/>
      <c r="H3" s="20"/>
    </row>
    <row r="4" customFormat="false" ht="15.75" hidden="false" customHeight="false" outlineLevel="0" collapsed="false">
      <c r="A4" s="4"/>
      <c r="B4" s="5" t="s">
        <v>92</v>
      </c>
      <c r="C4" s="6" t="n">
        <v>20</v>
      </c>
      <c r="D4" s="6" t="n">
        <v>420</v>
      </c>
      <c r="E4" s="7" t="n">
        <f aca="false">D4/1000*C4</f>
        <v>8.4</v>
      </c>
      <c r="F4" s="20"/>
      <c r="G4" s="20"/>
      <c r="H4" s="20"/>
    </row>
    <row r="5" customFormat="false" ht="15.75" hidden="false" customHeight="false" outlineLevel="0" collapsed="false">
      <c r="A5" s="4"/>
      <c r="B5" s="5" t="s">
        <v>98</v>
      </c>
      <c r="C5" s="6" t="n">
        <v>100</v>
      </c>
      <c r="D5" s="6" t="n">
        <v>170</v>
      </c>
      <c r="E5" s="7" t="n">
        <f aca="false">D5/1000*C5</f>
        <v>17</v>
      </c>
      <c r="F5" s="20"/>
      <c r="G5" s="20"/>
      <c r="H5" s="20"/>
    </row>
    <row r="6" customFormat="false" ht="15.75" hidden="false" customHeight="false" outlineLevel="0" collapsed="false">
      <c r="A6" s="4"/>
      <c r="B6" s="5" t="s">
        <v>66</v>
      </c>
      <c r="C6" s="6" t="n">
        <v>40</v>
      </c>
      <c r="D6" s="6" t="n">
        <v>260</v>
      </c>
      <c r="E6" s="7" t="n">
        <f aca="false">D6/1000*C6</f>
        <v>10.4</v>
      </c>
      <c r="F6" s="20"/>
      <c r="G6" s="20"/>
      <c r="H6" s="20"/>
    </row>
    <row r="7" customFormat="false" ht="15.75" hidden="false" customHeight="false" outlineLevel="0" collapsed="false">
      <c r="A7" s="4"/>
      <c r="B7" s="5" t="s">
        <v>37</v>
      </c>
      <c r="C7" s="6"/>
      <c r="D7" s="6"/>
      <c r="E7" s="7" t="n">
        <v>10</v>
      </c>
      <c r="F7" s="20"/>
      <c r="G7" s="20"/>
      <c r="H7" s="20"/>
    </row>
    <row r="8" customFormat="false" ht="15.75" hidden="false" customHeight="false" outlineLevel="0" collapsed="false">
      <c r="A8" s="4" t="s">
        <v>99</v>
      </c>
      <c r="B8" s="5" t="s">
        <v>32</v>
      </c>
      <c r="C8" s="6" t="n">
        <v>40</v>
      </c>
      <c r="D8" s="6" t="e">
        <f aca="false">#REF!</f>
        <v>#REF!</v>
      </c>
      <c r="E8" s="7" t="e">
        <f aca="false">D8/1000*C8</f>
        <v>#REF!</v>
      </c>
      <c r="F8" s="15" t="e">
        <f aca="false">SUM(E8:E14)</f>
        <v>#REF!</v>
      </c>
      <c r="G8" s="9" t="n">
        <v>700</v>
      </c>
      <c r="H8" s="9" t="e">
        <f aca="false">(G8-F8)/F8*100</f>
        <v>#REF!</v>
      </c>
    </row>
    <row r="9" customFormat="false" ht="15.75" hidden="false" customHeight="false" outlineLevel="0" collapsed="false">
      <c r="A9" s="4"/>
      <c r="B9" s="5" t="s">
        <v>100</v>
      </c>
      <c r="C9" s="6" t="n">
        <v>20</v>
      </c>
      <c r="D9" s="6" t="e">
        <f aca="false">#REF!</f>
        <v>#REF!</v>
      </c>
      <c r="E9" s="7" t="e">
        <f aca="false">D9/1000*C9</f>
        <v>#REF!</v>
      </c>
      <c r="F9" s="15"/>
      <c r="G9" s="15"/>
      <c r="H9" s="15"/>
    </row>
    <row r="10" customFormat="false" ht="15.75" hidden="false" customHeight="false" outlineLevel="0" collapsed="false">
      <c r="A10" s="4"/>
      <c r="B10" s="5" t="s">
        <v>101</v>
      </c>
      <c r="C10" s="6" t="n">
        <v>20</v>
      </c>
      <c r="D10" s="6" t="n">
        <v>420</v>
      </c>
      <c r="E10" s="7" t="n">
        <f aca="false">D10/1000*C10</f>
        <v>8.4</v>
      </c>
      <c r="F10" s="15"/>
      <c r="G10" s="15"/>
      <c r="H10" s="15"/>
    </row>
    <row r="11" customFormat="false" ht="15.75" hidden="false" customHeight="false" outlineLevel="0" collapsed="false">
      <c r="A11" s="4"/>
      <c r="B11" s="5" t="s">
        <v>67</v>
      </c>
      <c r="C11" s="6" t="n">
        <v>100</v>
      </c>
      <c r="D11" s="6" t="n">
        <v>170</v>
      </c>
      <c r="E11" s="7" t="n">
        <f aca="false">D11/1000*C11</f>
        <v>17</v>
      </c>
      <c r="F11" s="15"/>
      <c r="G11" s="15"/>
      <c r="H11" s="15"/>
    </row>
    <row r="12" customFormat="false" ht="15.75" hidden="false" customHeight="false" outlineLevel="0" collapsed="false">
      <c r="A12" s="4"/>
      <c r="B12" s="5" t="s">
        <v>66</v>
      </c>
      <c r="C12" s="6" t="n">
        <v>40</v>
      </c>
      <c r="D12" s="6" t="n">
        <v>260</v>
      </c>
      <c r="E12" s="7" t="n">
        <f aca="false">D12/1000*C12</f>
        <v>10.4</v>
      </c>
      <c r="F12" s="15"/>
      <c r="G12" s="15"/>
      <c r="H12" s="15"/>
    </row>
    <row r="13" customFormat="false" ht="15.75" hidden="false" customHeight="false" outlineLevel="0" collapsed="false">
      <c r="A13" s="4"/>
      <c r="B13" s="5" t="s">
        <v>37</v>
      </c>
      <c r="C13" s="6"/>
      <c r="D13" s="6"/>
      <c r="E13" s="7" t="n">
        <v>10</v>
      </c>
      <c r="F13" s="15"/>
      <c r="G13" s="15"/>
      <c r="H13" s="15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D14/1000*C14</f>
        <v>0</v>
      </c>
      <c r="F14" s="15"/>
      <c r="G14" s="15"/>
      <c r="H14" s="15"/>
    </row>
    <row r="15" customFormat="false" ht="15.75" hidden="false" customHeight="false" outlineLevel="0" collapsed="false">
      <c r="A15" s="4" t="s">
        <v>102</v>
      </c>
      <c r="B15" s="6" t="s">
        <v>97</v>
      </c>
      <c r="C15" s="6" t="n">
        <v>40</v>
      </c>
      <c r="D15" s="6" t="e">
        <f aca="false">#REF!</f>
        <v>#REF!</v>
      </c>
      <c r="E15" s="7" t="e">
        <f aca="false">D15/1000*C15</f>
        <v>#REF!</v>
      </c>
      <c r="F15" s="15" t="e">
        <f aca="false">SUM(E15:E20)</f>
        <v>#REF!</v>
      </c>
      <c r="G15" s="9" t="n">
        <v>700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33</v>
      </c>
      <c r="C16" s="6" t="n">
        <v>20</v>
      </c>
      <c r="D16" s="6" t="e">
        <f aca="false">#REF!</f>
        <v>#REF!</v>
      </c>
      <c r="E16" s="7" t="e">
        <f aca="false">D16/1000*C16</f>
        <v>#REF!</v>
      </c>
      <c r="F16" s="15"/>
      <c r="G16" s="15"/>
      <c r="H16" s="15"/>
    </row>
    <row r="17" customFormat="false" ht="15.75" hidden="false" customHeight="false" outlineLevel="0" collapsed="false">
      <c r="A17" s="4"/>
      <c r="B17" s="21" t="s">
        <v>103</v>
      </c>
      <c r="C17" s="6" t="n">
        <v>20</v>
      </c>
      <c r="D17" s="6" t="n">
        <v>420</v>
      </c>
      <c r="E17" s="7" t="n">
        <f aca="false">D17/1000*C17</f>
        <v>8.4</v>
      </c>
      <c r="F17" s="15"/>
      <c r="G17" s="15"/>
      <c r="H17" s="15"/>
    </row>
    <row r="18" customFormat="false" ht="15.75" hidden="false" customHeight="false" outlineLevel="0" collapsed="false">
      <c r="A18" s="4"/>
      <c r="B18" s="21" t="s">
        <v>104</v>
      </c>
      <c r="C18" s="6" t="n">
        <v>100</v>
      </c>
      <c r="D18" s="6" t="n">
        <v>170</v>
      </c>
      <c r="E18" s="7" t="n">
        <f aca="false">D18/1000*C18</f>
        <v>17</v>
      </c>
      <c r="F18" s="15"/>
      <c r="G18" s="15"/>
      <c r="H18" s="15"/>
    </row>
    <row r="19" customFormat="false" ht="15.75" hidden="false" customHeight="false" outlineLevel="0" collapsed="false">
      <c r="A19" s="4"/>
      <c r="B19" s="5" t="s">
        <v>66</v>
      </c>
      <c r="C19" s="6" t="n">
        <v>40</v>
      </c>
      <c r="D19" s="6" t="n">
        <v>260</v>
      </c>
      <c r="E19" s="7" t="n">
        <f aca="false">D19/1000*C19</f>
        <v>10.4</v>
      </c>
      <c r="F19" s="15"/>
      <c r="G19" s="15"/>
      <c r="H19" s="15"/>
    </row>
    <row r="20" customFormat="false" ht="15.75" hidden="false" customHeight="false" outlineLevel="0" collapsed="false">
      <c r="A20" s="4"/>
      <c r="B20" s="5" t="s">
        <v>37</v>
      </c>
      <c r="C20" s="6"/>
      <c r="D20" s="6"/>
      <c r="E20" s="7" t="n">
        <v>10</v>
      </c>
      <c r="F20" s="15"/>
      <c r="G20" s="15"/>
      <c r="H20" s="15"/>
    </row>
    <row r="21" customFormat="false" ht="15.75" hidden="false" customHeight="false" outlineLevel="0" collapsed="false">
      <c r="A21" s="23"/>
      <c r="B21" s="24"/>
      <c r="C21" s="18"/>
      <c r="D21" s="18"/>
      <c r="E21" s="25"/>
      <c r="F21" s="18"/>
      <c r="G21" s="18"/>
      <c r="H21" s="1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.75" hidden="false" customHeight="false" outlineLevel="0" collapsed="false">
      <c r="A22" s="3" t="s">
        <v>51</v>
      </c>
      <c r="B22" s="3"/>
      <c r="C22" s="3"/>
      <c r="D22" s="6"/>
      <c r="E22" s="7"/>
      <c r="F22" s="6"/>
      <c r="G22" s="6"/>
      <c r="H22" s="6"/>
    </row>
    <row r="23" customFormat="false" ht="15.75" hidden="false" customHeight="false" outlineLevel="0" collapsed="false">
      <c r="A23" s="4" t="s">
        <v>105</v>
      </c>
      <c r="B23" s="5" t="s">
        <v>32</v>
      </c>
      <c r="C23" s="6" t="n">
        <v>40</v>
      </c>
      <c r="D23" s="6" t="e">
        <f aca="false">#REF!</f>
        <v>#REF!</v>
      </c>
      <c r="E23" s="7" t="e">
        <f aca="false">D23/1000*C23</f>
        <v>#REF!</v>
      </c>
      <c r="F23" s="15" t="e">
        <f aca="false">SUM(E23:E28)</f>
        <v>#REF!</v>
      </c>
      <c r="G23" s="9" t="n">
        <v>1000</v>
      </c>
      <c r="H23" s="9" t="e">
        <f aca="false">(G23-F23)/F23*100</f>
        <v>#REF!</v>
      </c>
    </row>
    <row r="24" customFormat="false" ht="15.75" hidden="false" customHeight="false" outlineLevel="0" collapsed="false">
      <c r="A24" s="4"/>
      <c r="B24" s="5" t="s">
        <v>94</v>
      </c>
      <c r="C24" s="6" t="n">
        <v>30</v>
      </c>
      <c r="D24" s="6" t="e">
        <f aca="false">#REF!</f>
        <v>#REF!</v>
      </c>
      <c r="E24" s="7" t="e">
        <f aca="false">D24/1000*C24</f>
        <v>#REF!</v>
      </c>
      <c r="F24" s="15"/>
      <c r="G24" s="15"/>
      <c r="H24" s="15"/>
    </row>
    <row r="25" customFormat="false" ht="15.75" hidden="false" customHeight="false" outlineLevel="0" collapsed="false">
      <c r="A25" s="4"/>
      <c r="B25" s="5" t="s">
        <v>95</v>
      </c>
      <c r="C25" s="6" t="n">
        <v>30</v>
      </c>
      <c r="D25" s="6" t="e">
        <f aca="false">#REF!</f>
        <v>#REF!</v>
      </c>
      <c r="E25" s="7" t="e">
        <f aca="false">D25/1000*C25</f>
        <v>#REF!</v>
      </c>
      <c r="F25" s="15"/>
      <c r="G25" s="15"/>
      <c r="H25" s="15"/>
    </row>
    <row r="26" customFormat="false" ht="15.75" hidden="false" customHeight="false" outlineLevel="0" collapsed="false">
      <c r="A26" s="4"/>
      <c r="B26" s="5" t="s">
        <v>82</v>
      </c>
      <c r="C26" s="6" t="n">
        <v>40</v>
      </c>
      <c r="D26" s="6" t="e">
        <f aca="false">#REF!</f>
        <v>#REF!</v>
      </c>
      <c r="E26" s="7" t="e">
        <f aca="false">D26/1000*C26</f>
        <v>#REF!</v>
      </c>
      <c r="F26" s="15"/>
      <c r="G26" s="15"/>
      <c r="H26" s="15"/>
    </row>
    <row r="27" customFormat="false" ht="15.75" hidden="false" customHeight="false" outlineLevel="0" collapsed="false">
      <c r="A27" s="4"/>
      <c r="B27" s="5" t="s">
        <v>59</v>
      </c>
      <c r="C27" s="6" t="n">
        <v>20</v>
      </c>
      <c r="D27" s="6" t="e">
        <f aca="false">#REF!</f>
        <v>#REF!</v>
      </c>
      <c r="E27" s="7" t="e">
        <f aca="false">D27/1000*C27</f>
        <v>#REF!</v>
      </c>
      <c r="F27" s="15"/>
      <c r="G27" s="15"/>
      <c r="H27" s="15"/>
    </row>
    <row r="28" customFormat="false" ht="15.75" hidden="false" customHeight="false" outlineLevel="0" collapsed="false">
      <c r="A28" s="4"/>
      <c r="B28" s="21"/>
      <c r="C28" s="6"/>
      <c r="D28" s="6"/>
      <c r="E28" s="7" t="n">
        <f aca="false">D28/1000*C28</f>
        <v>0</v>
      </c>
      <c r="F28" s="15"/>
      <c r="G28" s="15"/>
      <c r="H28" s="15"/>
    </row>
    <row r="29" customFormat="false" ht="15.75" hidden="false" customHeight="false" outlineLevel="0" collapsed="false">
      <c r="C29" s="14"/>
      <c r="D29" s="14"/>
      <c r="E29" s="14"/>
      <c r="F29" s="14"/>
      <c r="G29" s="14"/>
      <c r="H29" s="14"/>
    </row>
    <row r="30" customFormat="false" ht="15.75" hidden="false" customHeight="false" outlineLevel="0" collapsed="false">
      <c r="C30" s="14"/>
      <c r="D30" s="14"/>
      <c r="E30" s="14"/>
      <c r="F30" s="14"/>
      <c r="G30" s="14"/>
      <c r="H30" s="14"/>
    </row>
    <row r="31" customFormat="false" ht="15.75" hidden="false" customHeight="false" outlineLevel="0" collapsed="false">
      <c r="C31" s="14"/>
      <c r="D31" s="14"/>
      <c r="E31" s="14"/>
      <c r="F31" s="14"/>
      <c r="G31" s="14"/>
      <c r="H31" s="14"/>
    </row>
    <row r="32" customFormat="false" ht="15.75" hidden="false" customHeight="false" outlineLevel="0" collapsed="false">
      <c r="C32" s="14"/>
      <c r="D32" s="14"/>
      <c r="E32" s="14"/>
      <c r="F32" s="14"/>
      <c r="G32" s="14"/>
      <c r="H32" s="14"/>
    </row>
    <row r="33" customFormat="false" ht="15.75" hidden="false" customHeight="false" outlineLevel="0" collapsed="false">
      <c r="C33" s="14"/>
      <c r="D33" s="14"/>
      <c r="E33" s="14"/>
      <c r="F33" s="14"/>
      <c r="G33" s="14"/>
      <c r="H33" s="14"/>
    </row>
    <row r="34" customFormat="false" ht="15.75" hidden="false" customHeight="false" outlineLevel="0" collapsed="false">
      <c r="C34" s="14"/>
      <c r="D34" s="14"/>
      <c r="E34" s="14"/>
      <c r="F34" s="14"/>
      <c r="G34" s="14"/>
      <c r="H34" s="14"/>
    </row>
    <row r="35" customFormat="false" ht="15.75" hidden="false" customHeight="false" outlineLevel="0" collapsed="false">
      <c r="C35" s="14"/>
      <c r="D35" s="14"/>
      <c r="E35" s="14"/>
      <c r="F35" s="14"/>
      <c r="G35" s="14"/>
      <c r="H35" s="14"/>
    </row>
    <row r="36" customFormat="false" ht="15.75" hidden="false" customHeight="false" outlineLevel="0" collapsed="false">
      <c r="C36" s="14"/>
      <c r="D36" s="14"/>
      <c r="E36" s="14"/>
      <c r="F36" s="14"/>
      <c r="G36" s="14"/>
      <c r="H36" s="14"/>
    </row>
    <row r="37" customFormat="false" ht="15.75" hidden="false" customHeight="false" outlineLevel="0" collapsed="false">
      <c r="C37" s="14"/>
      <c r="D37" s="14"/>
      <c r="E37" s="14"/>
      <c r="F37" s="14"/>
      <c r="G37" s="14"/>
      <c r="H37" s="14"/>
    </row>
    <row r="38" customFormat="false" ht="15.75" hidden="false" customHeight="false" outlineLevel="0" collapsed="false">
      <c r="C38" s="14"/>
      <c r="D38" s="14"/>
      <c r="E38" s="14"/>
      <c r="F38" s="14"/>
      <c r="G38" s="14"/>
      <c r="H38" s="14"/>
    </row>
    <row r="39" customFormat="false" ht="15.75" hidden="false" customHeight="false" outlineLevel="0" collapsed="false">
      <c r="C39" s="14"/>
      <c r="D39" s="14"/>
      <c r="E39" s="14"/>
      <c r="F39" s="14"/>
      <c r="G39" s="14"/>
      <c r="H39" s="14"/>
    </row>
    <row r="40" customFormat="false" ht="15.75" hidden="false" customHeight="false" outlineLevel="0" collapsed="false">
      <c r="C40" s="14"/>
      <c r="D40" s="14"/>
      <c r="E40" s="14"/>
      <c r="F40" s="14"/>
      <c r="G40" s="14"/>
      <c r="H40" s="14"/>
    </row>
    <row r="41" customFormat="false" ht="15.75" hidden="false" customHeight="false" outlineLevel="0" collapsed="false">
      <c r="C41" s="14"/>
      <c r="D41" s="14"/>
      <c r="E41" s="14"/>
      <c r="F41" s="14"/>
      <c r="G41" s="14"/>
      <c r="H41" s="14"/>
    </row>
    <row r="42" customFormat="false" ht="15.75" hidden="false" customHeight="false" outlineLevel="0" collapsed="false">
      <c r="C42" s="14"/>
      <c r="D42" s="14"/>
      <c r="E42" s="14"/>
      <c r="F42" s="14"/>
      <c r="G42" s="14"/>
      <c r="H42" s="14"/>
    </row>
    <row r="43" customFormat="false" ht="15.75" hidden="false" customHeight="false" outlineLevel="0" collapsed="false">
      <c r="C43" s="14"/>
      <c r="D43" s="14"/>
      <c r="E43" s="14"/>
      <c r="F43" s="14"/>
      <c r="G43" s="14"/>
      <c r="H43" s="14"/>
    </row>
    <row r="44" customFormat="false" ht="15.75" hidden="false" customHeight="false" outlineLevel="0" collapsed="false">
      <c r="C44" s="14"/>
      <c r="D44" s="14"/>
      <c r="E44" s="14"/>
      <c r="F44" s="14"/>
      <c r="G44" s="14"/>
      <c r="H44" s="14"/>
    </row>
    <row r="45" customFormat="false" ht="15.75" hidden="false" customHeight="false" outlineLevel="0" collapsed="false">
      <c r="C45" s="14"/>
      <c r="D45" s="14"/>
      <c r="E45" s="14"/>
      <c r="F45" s="14"/>
      <c r="G45" s="14"/>
      <c r="H45" s="14"/>
    </row>
    <row r="46" customFormat="false" ht="15.75" hidden="false" customHeight="false" outlineLevel="0" collapsed="false">
      <c r="C46" s="14"/>
      <c r="D46" s="14"/>
      <c r="E46" s="14"/>
      <c r="F46" s="14"/>
      <c r="G46" s="14"/>
      <c r="H46" s="14"/>
    </row>
    <row r="47" customFormat="false" ht="15.75" hidden="false" customHeight="false" outlineLevel="0" collapsed="false">
      <c r="C47" s="14"/>
      <c r="D47" s="14"/>
      <c r="E47" s="14"/>
      <c r="F47" s="14"/>
      <c r="G47" s="14"/>
      <c r="H47" s="14"/>
    </row>
    <row r="48" customFormat="false" ht="15.75" hidden="false" customHeight="false" outlineLevel="0" collapsed="false">
      <c r="C48" s="14"/>
      <c r="D48" s="14"/>
      <c r="E48" s="14"/>
      <c r="F48" s="14"/>
      <c r="G48" s="14"/>
      <c r="H48" s="14"/>
    </row>
    <row r="49" customFormat="false" ht="15.75" hidden="false" customHeight="false" outlineLevel="0" collapsed="false">
      <c r="C49" s="14"/>
      <c r="D49" s="14"/>
      <c r="E49" s="14"/>
      <c r="F49" s="14"/>
      <c r="G49" s="14"/>
      <c r="H49" s="14"/>
    </row>
    <row r="50" customFormat="false" ht="15.75" hidden="false" customHeight="false" outlineLevel="0" collapsed="false">
      <c r="C50" s="14"/>
      <c r="D50" s="14"/>
      <c r="E50" s="14"/>
      <c r="F50" s="14"/>
      <c r="G50" s="14"/>
      <c r="H50" s="14"/>
    </row>
    <row r="51" customFormat="false" ht="15.75" hidden="false" customHeight="false" outlineLevel="0" collapsed="false">
      <c r="C51" s="14"/>
      <c r="D51" s="14"/>
      <c r="E51" s="14"/>
      <c r="F51" s="14"/>
      <c r="G51" s="14"/>
      <c r="H51" s="14"/>
    </row>
    <row r="52" customFormat="false" ht="15.75" hidden="false" customHeight="false" outlineLevel="0" collapsed="false">
      <c r="C52" s="14"/>
      <c r="D52" s="14"/>
      <c r="E52" s="14"/>
      <c r="F52" s="14"/>
      <c r="G52" s="14"/>
      <c r="H52" s="14"/>
    </row>
    <row r="53" customFormat="false" ht="15.75" hidden="false" customHeight="false" outlineLevel="0" collapsed="false">
      <c r="C53" s="14"/>
      <c r="D53" s="14"/>
      <c r="E53" s="14"/>
      <c r="F53" s="14"/>
      <c r="G53" s="14"/>
      <c r="H53" s="14"/>
    </row>
    <row r="54" customFormat="false" ht="15.75" hidden="false" customHeight="false" outlineLevel="0" collapsed="false">
      <c r="C54" s="14"/>
      <c r="D54" s="14"/>
      <c r="E54" s="14"/>
      <c r="F54" s="14"/>
      <c r="G54" s="14"/>
      <c r="H54" s="14"/>
    </row>
    <row r="55" customFormat="false" ht="15.75" hidden="false" customHeight="false" outlineLevel="0" collapsed="false">
      <c r="C55" s="14"/>
      <c r="D55" s="14"/>
      <c r="E55" s="14"/>
      <c r="F55" s="14"/>
      <c r="G55" s="14"/>
      <c r="H55" s="14"/>
    </row>
    <row r="56" customFormat="false" ht="15.75" hidden="false" customHeight="false" outlineLevel="0" collapsed="false">
      <c r="C56" s="14"/>
      <c r="D56" s="14"/>
      <c r="E56" s="14"/>
      <c r="F56" s="14"/>
      <c r="G56" s="14"/>
      <c r="H56" s="14"/>
    </row>
    <row r="57" customFormat="false" ht="15.75" hidden="false" customHeight="false" outlineLevel="0" collapsed="false">
      <c r="C57" s="14"/>
      <c r="D57" s="14"/>
      <c r="E57" s="14"/>
      <c r="F57" s="14"/>
      <c r="G57" s="14"/>
      <c r="H57" s="14"/>
    </row>
    <row r="58" customFormat="false" ht="15.75" hidden="false" customHeight="false" outlineLevel="0" collapsed="false">
      <c r="C58" s="14"/>
      <c r="D58" s="14"/>
      <c r="E58" s="14"/>
      <c r="F58" s="14"/>
      <c r="G58" s="14"/>
      <c r="H58" s="14"/>
    </row>
    <row r="59" customFormat="false" ht="15.75" hidden="false" customHeight="false" outlineLevel="0" collapsed="false">
      <c r="C59" s="14"/>
      <c r="D59" s="14"/>
      <c r="E59" s="14"/>
      <c r="F59" s="14"/>
      <c r="G59" s="14"/>
      <c r="H59" s="14"/>
    </row>
    <row r="60" customFormat="false" ht="15.75" hidden="false" customHeight="false" outlineLevel="0" collapsed="false">
      <c r="C60" s="14"/>
      <c r="D60" s="14"/>
      <c r="E60" s="14"/>
      <c r="F60" s="14"/>
      <c r="G60" s="14"/>
      <c r="H60" s="14"/>
    </row>
    <row r="61" customFormat="false" ht="15.75" hidden="false" customHeight="false" outlineLevel="0" collapsed="false">
      <c r="C61" s="14"/>
      <c r="D61" s="14"/>
      <c r="E61" s="14"/>
      <c r="F61" s="14"/>
      <c r="G61" s="14"/>
      <c r="H61" s="14"/>
    </row>
    <row r="62" customFormat="false" ht="15.75" hidden="false" customHeight="false" outlineLevel="0" collapsed="false">
      <c r="C62" s="14"/>
      <c r="D62" s="14"/>
      <c r="E62" s="14"/>
      <c r="F62" s="14"/>
      <c r="G62" s="14"/>
      <c r="H62" s="14"/>
    </row>
    <row r="63" customFormat="false" ht="15.75" hidden="false" customHeight="false" outlineLevel="0" collapsed="false">
      <c r="C63" s="14"/>
      <c r="D63" s="14"/>
      <c r="E63" s="14"/>
      <c r="F63" s="14"/>
      <c r="G63" s="14"/>
      <c r="H63" s="14"/>
    </row>
    <row r="64" customFormat="false" ht="15.75" hidden="false" customHeight="false" outlineLevel="0" collapsed="false">
      <c r="C64" s="14"/>
      <c r="D64" s="14"/>
      <c r="E64" s="14"/>
      <c r="F64" s="14"/>
      <c r="G64" s="14"/>
      <c r="H64" s="14"/>
    </row>
    <row r="65" customFormat="false" ht="15.75" hidden="false" customHeight="false" outlineLevel="0" collapsed="false">
      <c r="C65" s="14"/>
      <c r="D65" s="14"/>
      <c r="E65" s="14"/>
      <c r="F65" s="14"/>
      <c r="G65" s="14"/>
      <c r="H65" s="14"/>
    </row>
    <row r="66" customFormat="false" ht="15.75" hidden="false" customHeight="false" outlineLevel="0" collapsed="false">
      <c r="C66" s="14"/>
      <c r="D66" s="14"/>
      <c r="E66" s="14"/>
      <c r="F66" s="14"/>
      <c r="G66" s="14"/>
      <c r="H66" s="14"/>
    </row>
    <row r="67" customFormat="false" ht="15.75" hidden="false" customHeight="false" outlineLevel="0" collapsed="false">
      <c r="C67" s="14"/>
      <c r="D67" s="14"/>
      <c r="E67" s="14"/>
      <c r="F67" s="14"/>
      <c r="G67" s="14"/>
      <c r="H67" s="14"/>
    </row>
    <row r="68" customFormat="false" ht="15.75" hidden="false" customHeight="false" outlineLevel="0" collapsed="false">
      <c r="C68" s="14"/>
      <c r="D68" s="14"/>
      <c r="E68" s="14"/>
      <c r="F68" s="14"/>
      <c r="G68" s="14"/>
      <c r="H68" s="14"/>
    </row>
    <row r="69" customFormat="false" ht="15.75" hidden="false" customHeight="false" outlineLevel="0" collapsed="false">
      <c r="C69" s="14"/>
      <c r="D69" s="14"/>
      <c r="E69" s="14"/>
      <c r="F69" s="14"/>
      <c r="G69" s="14"/>
      <c r="H69" s="14"/>
    </row>
    <row r="70" customFormat="false" ht="15.75" hidden="false" customHeight="false" outlineLevel="0" collapsed="false">
      <c r="C70" s="14"/>
      <c r="D70" s="14"/>
      <c r="E70" s="14"/>
      <c r="F70" s="14"/>
      <c r="G70" s="14"/>
      <c r="H70" s="14"/>
    </row>
    <row r="71" customFormat="false" ht="15.75" hidden="false" customHeight="false" outlineLevel="0" collapsed="false">
      <c r="C71" s="14"/>
      <c r="D71" s="14"/>
      <c r="E71" s="14"/>
      <c r="F71" s="14"/>
      <c r="G71" s="14"/>
      <c r="H71" s="14"/>
    </row>
    <row r="72" customFormat="false" ht="15.75" hidden="false" customHeight="false" outlineLevel="0" collapsed="false">
      <c r="C72" s="14"/>
      <c r="D72" s="14"/>
      <c r="E72" s="14"/>
      <c r="F72" s="14"/>
      <c r="G72" s="14"/>
      <c r="H72" s="14"/>
    </row>
    <row r="73" customFormat="false" ht="15.75" hidden="false" customHeight="false" outlineLevel="0" collapsed="false">
      <c r="C73" s="14"/>
      <c r="D73" s="14"/>
      <c r="E73" s="14"/>
      <c r="F73" s="14"/>
      <c r="G73" s="14"/>
      <c r="H73" s="14"/>
    </row>
    <row r="74" customFormat="false" ht="15.75" hidden="false" customHeight="false" outlineLevel="0" collapsed="false">
      <c r="C74" s="14"/>
      <c r="D74" s="14"/>
      <c r="E74" s="14"/>
      <c r="F74" s="14"/>
      <c r="G74" s="14"/>
      <c r="H74" s="14"/>
    </row>
    <row r="75" customFormat="false" ht="15.75" hidden="false" customHeight="false" outlineLevel="0" collapsed="false">
      <c r="C75" s="14"/>
      <c r="D75" s="14"/>
      <c r="E75" s="14"/>
      <c r="F75" s="14"/>
      <c r="G75" s="14"/>
      <c r="H75" s="14"/>
    </row>
    <row r="76" customFormat="false" ht="15.75" hidden="false" customHeight="false" outlineLevel="0" collapsed="false">
      <c r="C76" s="14"/>
      <c r="D76" s="14"/>
      <c r="E76" s="14"/>
      <c r="F76" s="14"/>
      <c r="G76" s="14"/>
      <c r="H76" s="14"/>
    </row>
    <row r="77" customFormat="false" ht="15.75" hidden="false" customHeight="false" outlineLevel="0" collapsed="false">
      <c r="C77" s="14"/>
      <c r="D77" s="14"/>
      <c r="E77" s="14"/>
      <c r="F77" s="14"/>
      <c r="G77" s="14"/>
      <c r="H77" s="14"/>
    </row>
    <row r="78" customFormat="false" ht="15.75" hidden="false" customHeight="false" outlineLevel="0" collapsed="false">
      <c r="C78" s="14"/>
      <c r="D78" s="14"/>
      <c r="E78" s="14"/>
      <c r="F78" s="14"/>
      <c r="G78" s="14"/>
      <c r="H78" s="14"/>
    </row>
    <row r="79" customFormat="false" ht="15.75" hidden="false" customHeight="false" outlineLevel="0" collapsed="false">
      <c r="C79" s="14"/>
      <c r="D79" s="14"/>
      <c r="E79" s="14"/>
      <c r="F79" s="14"/>
      <c r="G79" s="14"/>
      <c r="H79" s="14"/>
    </row>
    <row r="80" customFormat="false" ht="15.75" hidden="false" customHeight="false" outlineLevel="0" collapsed="false">
      <c r="C80" s="14"/>
      <c r="D80" s="14"/>
      <c r="E80" s="14"/>
      <c r="F80" s="14"/>
      <c r="G80" s="14"/>
      <c r="H80" s="14"/>
    </row>
    <row r="81" customFormat="false" ht="15.75" hidden="false" customHeight="false" outlineLevel="0" collapsed="false">
      <c r="C81" s="14"/>
      <c r="D81" s="14"/>
      <c r="E81" s="14"/>
      <c r="F81" s="14"/>
      <c r="G81" s="14"/>
      <c r="H81" s="14"/>
    </row>
    <row r="82" customFormat="false" ht="15.75" hidden="false" customHeight="false" outlineLevel="0" collapsed="false">
      <c r="C82" s="14"/>
      <c r="D82" s="14"/>
      <c r="E82" s="14"/>
      <c r="F82" s="14"/>
      <c r="G82" s="14"/>
      <c r="H82" s="14"/>
    </row>
    <row r="83" customFormat="false" ht="15.75" hidden="false" customHeight="false" outlineLevel="0" collapsed="false">
      <c r="C83" s="14"/>
      <c r="D83" s="14"/>
      <c r="E83" s="14"/>
      <c r="F83" s="14"/>
      <c r="G83" s="14"/>
      <c r="H83" s="14"/>
    </row>
    <row r="84" customFormat="false" ht="15.75" hidden="false" customHeight="false" outlineLevel="0" collapsed="false">
      <c r="C84" s="14"/>
      <c r="D84" s="14"/>
      <c r="E84" s="14"/>
      <c r="F84" s="14"/>
      <c r="G84" s="14"/>
      <c r="H84" s="14"/>
    </row>
    <row r="85" customFormat="false" ht="15.75" hidden="false" customHeight="false" outlineLevel="0" collapsed="false">
      <c r="C85" s="14"/>
      <c r="D85" s="14"/>
      <c r="E85" s="14"/>
      <c r="F85" s="14"/>
      <c r="G85" s="14"/>
      <c r="H85" s="14"/>
    </row>
    <row r="86" customFormat="false" ht="15.75" hidden="false" customHeight="false" outlineLevel="0" collapsed="false">
      <c r="C86" s="14"/>
      <c r="D86" s="14"/>
      <c r="E86" s="14"/>
      <c r="F86" s="14"/>
      <c r="G86" s="14"/>
      <c r="H86" s="14"/>
    </row>
    <row r="87" customFormat="false" ht="15.75" hidden="false" customHeight="false" outlineLevel="0" collapsed="false">
      <c r="C87" s="14"/>
      <c r="D87" s="14"/>
      <c r="E87" s="14"/>
      <c r="F87" s="14"/>
      <c r="G87" s="14"/>
      <c r="H87" s="14"/>
    </row>
    <row r="88" customFormat="false" ht="15.75" hidden="false" customHeight="false" outlineLevel="0" collapsed="false">
      <c r="C88" s="14"/>
      <c r="D88" s="14"/>
      <c r="E88" s="14"/>
      <c r="F88" s="14"/>
      <c r="G88" s="14"/>
      <c r="H88" s="14"/>
    </row>
    <row r="89" customFormat="false" ht="15.75" hidden="false" customHeight="false" outlineLevel="0" collapsed="false">
      <c r="C89" s="14"/>
      <c r="D89" s="14"/>
      <c r="E89" s="14"/>
      <c r="F89" s="14"/>
      <c r="G89" s="14"/>
      <c r="H89" s="14"/>
    </row>
    <row r="90" customFormat="false" ht="15.75" hidden="false" customHeight="false" outlineLevel="0" collapsed="false">
      <c r="C90" s="14"/>
      <c r="D90" s="14"/>
      <c r="E90" s="14"/>
      <c r="F90" s="14"/>
      <c r="G90" s="14"/>
      <c r="H90" s="14"/>
    </row>
    <row r="91" customFormat="false" ht="15.75" hidden="false" customHeight="false" outlineLevel="0" collapsed="false">
      <c r="C91" s="14"/>
      <c r="D91" s="14"/>
      <c r="E91" s="14"/>
      <c r="F91" s="14"/>
      <c r="G91" s="14"/>
      <c r="H91" s="14"/>
    </row>
    <row r="92" customFormat="false" ht="15.75" hidden="false" customHeight="false" outlineLevel="0" collapsed="false"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C994" s="14"/>
      <c r="D994" s="14"/>
      <c r="E994" s="14"/>
      <c r="F994" s="14"/>
      <c r="G994" s="14"/>
      <c r="H994" s="14"/>
    </row>
    <row r="995" customFormat="false" ht="15.75" hidden="false" customHeight="false" outlineLevel="0" collapsed="false">
      <c r="C995" s="14"/>
      <c r="D995" s="14"/>
      <c r="E995" s="14"/>
      <c r="F995" s="14"/>
      <c r="G995" s="14"/>
      <c r="H995" s="14"/>
    </row>
    <row r="996" customFormat="false" ht="15.75" hidden="false" customHeight="false" outlineLevel="0" collapsed="false">
      <c r="C996" s="14"/>
      <c r="D996" s="14"/>
      <c r="E996" s="14"/>
      <c r="F996" s="14"/>
      <c r="G996" s="14"/>
      <c r="H996" s="14"/>
    </row>
    <row r="997" customFormat="false" ht="15.75" hidden="false" customHeight="false" outlineLevel="0" collapsed="false">
      <c r="C997" s="14"/>
      <c r="D997" s="14"/>
      <c r="E997" s="14"/>
      <c r="F997" s="14"/>
      <c r="G997" s="14"/>
      <c r="H997" s="14"/>
    </row>
    <row r="998" customFormat="false" ht="15.75" hidden="false" customHeight="false" outlineLevel="0" collapsed="false">
      <c r="C998" s="14"/>
      <c r="D998" s="14"/>
      <c r="E998" s="14"/>
      <c r="F998" s="14"/>
      <c r="G998" s="14"/>
      <c r="H998" s="14"/>
    </row>
  </sheetData>
  <mergeCells count="17">
    <mergeCell ref="A2:A7"/>
    <mergeCell ref="F2:F7"/>
    <mergeCell ref="G2:G7"/>
    <mergeCell ref="H2:H7"/>
    <mergeCell ref="A8:A14"/>
    <mergeCell ref="F8:F14"/>
    <mergeCell ref="G8:G14"/>
    <mergeCell ref="H8:H14"/>
    <mergeCell ref="A15:A20"/>
    <mergeCell ref="F15:F20"/>
    <mergeCell ref="G15:G20"/>
    <mergeCell ref="H15:H20"/>
    <mergeCell ref="A22:C22"/>
    <mergeCell ref="A23:A27"/>
    <mergeCell ref="F23:F28"/>
    <mergeCell ref="G23:G28"/>
    <mergeCell ref="H23:H28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106</v>
      </c>
      <c r="B2" s="5" t="s">
        <v>107</v>
      </c>
      <c r="C2" s="6" t="n">
        <v>0.15</v>
      </c>
      <c r="D2" s="6" t="e">
        <f aca="false">#REF!</f>
        <v>#REF!</v>
      </c>
      <c r="E2" s="7" t="e">
        <f aca="false">D2*C2</f>
        <v>#REF!</v>
      </c>
      <c r="F2" s="20" t="e">
        <f aca="false">SUM(E2:E7)</f>
        <v>#REF!</v>
      </c>
      <c r="G2" s="20" t="n">
        <v>2000</v>
      </c>
      <c r="H2" s="20" t="e">
        <f aca="false">(G2-F2)/F2*100</f>
        <v>#REF!</v>
      </c>
    </row>
    <row r="3" customFormat="false" ht="15.75" hidden="false" customHeight="false" outlineLevel="0" collapsed="false">
      <c r="A3" s="4"/>
      <c r="B3" s="5" t="s">
        <v>108</v>
      </c>
      <c r="C3" s="6" t="n">
        <v>0.1</v>
      </c>
      <c r="D3" s="6" t="e">
        <f aca="false">#REF!</f>
        <v>#REF!</v>
      </c>
      <c r="E3" s="7" t="e">
        <f aca="false">D3*C3</f>
        <v>#REF!</v>
      </c>
      <c r="F3" s="20"/>
      <c r="G3" s="20"/>
      <c r="H3" s="20"/>
    </row>
    <row r="4" customFormat="false" ht="15.75" hidden="false" customHeight="false" outlineLevel="0" collapsed="false">
      <c r="A4" s="4"/>
      <c r="B4" s="5" t="s">
        <v>109</v>
      </c>
      <c r="C4" s="6" t="n">
        <v>0.2</v>
      </c>
      <c r="D4" s="6" t="n">
        <v>250</v>
      </c>
      <c r="E4" s="7" t="n">
        <f aca="false">D4*C4</f>
        <v>50</v>
      </c>
      <c r="F4" s="20"/>
      <c r="G4" s="20"/>
      <c r="H4" s="20"/>
    </row>
    <row r="5" customFormat="false" ht="15.75" hidden="false" customHeight="false" outlineLevel="0" collapsed="false">
      <c r="A5" s="4"/>
      <c r="B5" s="5" t="s">
        <v>110</v>
      </c>
      <c r="C5" s="6" t="n">
        <v>0.3</v>
      </c>
      <c r="D5" s="6" t="e">
        <f aca="false">#REF!</f>
        <v>#REF!</v>
      </c>
      <c r="E5" s="7" t="e">
        <f aca="false">D5*C5</f>
        <v>#REF!</v>
      </c>
      <c r="F5" s="20"/>
      <c r="G5" s="20"/>
      <c r="H5" s="20"/>
    </row>
    <row r="6" customFormat="false" ht="15.75" hidden="false" customHeight="false" outlineLevel="0" collapsed="false">
      <c r="A6" s="4"/>
      <c r="B6" s="5" t="s">
        <v>111</v>
      </c>
      <c r="C6" s="6" t="n">
        <v>0.1</v>
      </c>
      <c r="D6" s="6" t="n">
        <v>420</v>
      </c>
      <c r="E6" s="7" t="n">
        <f aca="false">D6*C6</f>
        <v>42</v>
      </c>
      <c r="F6" s="20"/>
      <c r="G6" s="20"/>
      <c r="H6" s="20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20"/>
      <c r="G7" s="20"/>
      <c r="H7" s="20"/>
    </row>
    <row r="8" customFormat="false" ht="15.75" hidden="false" customHeight="false" outlineLevel="0" collapsed="false">
      <c r="A8" s="4" t="s">
        <v>112</v>
      </c>
      <c r="B8" s="5" t="s">
        <v>113</v>
      </c>
      <c r="C8" s="6" t="n">
        <v>0.2</v>
      </c>
      <c r="D8" s="6" t="e">
        <f aca="false">#REF!</f>
        <v>#REF!</v>
      </c>
      <c r="E8" s="7" t="e">
        <f aca="false">D8*C8</f>
        <v>#REF!</v>
      </c>
      <c r="F8" s="15" t="e">
        <f aca="false">SUM(E8:E14)</f>
        <v>#REF!</v>
      </c>
      <c r="G8" s="26" t="n">
        <v>2000</v>
      </c>
      <c r="H8" s="9" t="e">
        <f aca="false">(G8-F8)/F8*100</f>
        <v>#REF!</v>
      </c>
    </row>
    <row r="9" customFormat="false" ht="15.75" hidden="false" customHeight="false" outlineLevel="0" collapsed="false">
      <c r="A9" s="4"/>
      <c r="B9" s="5" t="s">
        <v>114</v>
      </c>
      <c r="C9" s="6" t="n">
        <v>0.1</v>
      </c>
      <c r="D9" s="6" t="n">
        <v>420</v>
      </c>
      <c r="E9" s="7" t="n">
        <f aca="false">D9*C9</f>
        <v>42</v>
      </c>
      <c r="F9" s="15"/>
      <c r="G9" s="15"/>
      <c r="H9" s="15"/>
    </row>
    <row r="10" customFormat="false" ht="15.75" hidden="false" customHeight="false" outlineLevel="0" collapsed="false">
      <c r="A10" s="4"/>
      <c r="B10" s="5" t="s">
        <v>115</v>
      </c>
      <c r="C10" s="6" t="n">
        <v>0.4</v>
      </c>
      <c r="D10" s="6" t="e">
        <f aca="false">#REF!</f>
        <v>#REF!</v>
      </c>
      <c r="E10" s="7" t="e">
        <f aca="false">D10*C10</f>
        <v>#REF!</v>
      </c>
      <c r="F10" s="15"/>
      <c r="G10" s="15"/>
      <c r="H10" s="15"/>
    </row>
    <row r="11" customFormat="false" ht="15.75" hidden="false" customHeight="false" outlineLevel="0" collapsed="false">
      <c r="A11" s="4"/>
      <c r="B11" s="5"/>
      <c r="C11" s="6"/>
      <c r="D11" s="6"/>
      <c r="E11" s="7" t="n">
        <f aca="false">D11*C11</f>
        <v>0</v>
      </c>
      <c r="F11" s="15"/>
      <c r="G11" s="15"/>
      <c r="H11" s="15"/>
    </row>
    <row r="12" customFormat="false" ht="15.75" hidden="false" customHeight="false" outlineLevel="0" collapsed="false">
      <c r="A12" s="4"/>
      <c r="B12" s="5"/>
      <c r="C12" s="6"/>
      <c r="D12" s="6"/>
      <c r="E12" s="7" t="n">
        <f aca="false">D12*C12</f>
        <v>0</v>
      </c>
      <c r="F12" s="15"/>
      <c r="G12" s="15"/>
      <c r="H12" s="15"/>
    </row>
    <row r="13" customFormat="false" ht="15.75" hidden="false" customHeight="false" outlineLevel="0" collapsed="false">
      <c r="A13" s="4"/>
      <c r="B13" s="5"/>
      <c r="C13" s="6"/>
      <c r="D13" s="6"/>
      <c r="E13" s="7" t="n">
        <f aca="false">D13*C13</f>
        <v>0</v>
      </c>
      <c r="F13" s="15"/>
      <c r="G13" s="15"/>
      <c r="H13" s="15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15"/>
      <c r="G14" s="26"/>
      <c r="H14" s="9"/>
    </row>
    <row r="15" customFormat="false" ht="15.75" hidden="false" customHeight="false" outlineLevel="0" collapsed="false">
      <c r="A15" s="4" t="s">
        <v>116</v>
      </c>
      <c r="B15" s="5" t="s">
        <v>117</v>
      </c>
      <c r="C15" s="6" t="n">
        <v>0.08</v>
      </c>
      <c r="D15" s="6" t="e">
        <f aca="false">#REF!</f>
        <v>#REF!</v>
      </c>
      <c r="E15" s="7" t="e">
        <f aca="false">D15*C15</f>
        <v>#REF!</v>
      </c>
      <c r="F15" s="15" t="e">
        <f aca="false">SUM(E15:E21)</f>
        <v>#REF!</v>
      </c>
      <c r="G15" s="26" t="n">
        <v>2000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118</v>
      </c>
      <c r="C16" s="6" t="n">
        <v>0.08</v>
      </c>
      <c r="D16" s="6" t="e">
        <f aca="false">#REF!</f>
        <v>#REF!</v>
      </c>
      <c r="E16" s="7" t="e">
        <f aca="false">D16*C16</f>
        <v>#REF!</v>
      </c>
      <c r="F16" s="15"/>
      <c r="G16" s="15"/>
      <c r="H16" s="15"/>
    </row>
    <row r="17" customFormat="false" ht="15.75" hidden="false" customHeight="false" outlineLevel="0" collapsed="false">
      <c r="A17" s="4"/>
      <c r="B17" s="5" t="s">
        <v>119</v>
      </c>
      <c r="C17" s="6" t="n">
        <v>0.08</v>
      </c>
      <c r="D17" s="6" t="e">
        <f aca="false">#REF!</f>
        <v>#REF!</v>
      </c>
      <c r="E17" s="7" t="e">
        <f aca="false">D17*C17</f>
        <v>#REF!</v>
      </c>
      <c r="F17" s="15"/>
      <c r="G17" s="15"/>
      <c r="H17" s="15"/>
    </row>
    <row r="18" customFormat="false" ht="15.75" hidden="false" customHeight="false" outlineLevel="0" collapsed="false">
      <c r="A18" s="4"/>
      <c r="B18" s="5" t="s">
        <v>120</v>
      </c>
      <c r="C18" s="6" t="n">
        <v>0.08</v>
      </c>
      <c r="D18" s="6" t="e">
        <f aca="false">#REF!</f>
        <v>#REF!</v>
      </c>
      <c r="E18" s="7" t="e">
        <f aca="false">D18*C18</f>
        <v>#REF!</v>
      </c>
      <c r="F18" s="15"/>
      <c r="G18" s="15"/>
      <c r="H18" s="15"/>
    </row>
    <row r="19" customFormat="false" ht="15.75" hidden="false" customHeight="false" outlineLevel="0" collapsed="false">
      <c r="A19" s="4"/>
      <c r="B19" s="5" t="s">
        <v>121</v>
      </c>
      <c r="C19" s="6" t="n">
        <v>0.08</v>
      </c>
      <c r="D19" s="6" t="e">
        <f aca="false">#REF!</f>
        <v>#REF!</v>
      </c>
      <c r="E19" s="7" t="e">
        <f aca="false">D19*C19</f>
        <v>#REF!</v>
      </c>
      <c r="F19" s="15"/>
      <c r="G19" s="15"/>
      <c r="H19" s="15"/>
    </row>
    <row r="20" customFormat="false" ht="15.75" hidden="false" customHeight="false" outlineLevel="0" collapsed="false">
      <c r="A20" s="4"/>
      <c r="B20" s="5" t="s">
        <v>122</v>
      </c>
      <c r="C20" s="6" t="n">
        <v>0.08</v>
      </c>
      <c r="D20" s="6" t="n">
        <v>250</v>
      </c>
      <c r="E20" s="7" t="n">
        <f aca="false">D20*C20</f>
        <v>20</v>
      </c>
      <c r="F20" s="15"/>
      <c r="G20" s="15"/>
      <c r="H20" s="15"/>
    </row>
    <row r="21" customFormat="false" ht="15.75" hidden="false" customHeight="false" outlineLevel="0" collapsed="false">
      <c r="A21" s="4"/>
      <c r="B21" s="24" t="s">
        <v>123</v>
      </c>
      <c r="C21" s="6" t="n">
        <v>0.3</v>
      </c>
      <c r="D21" s="6" t="e">
        <f aca="false">#REF!</f>
        <v>#REF!</v>
      </c>
      <c r="E21" s="7" t="e">
        <f aca="false">D21*C21</f>
        <v>#REF!</v>
      </c>
      <c r="F21" s="15"/>
      <c r="G21" s="26"/>
      <c r="H21" s="9"/>
    </row>
    <row r="22" customFormat="false" ht="15.75" hidden="false" customHeight="false" outlineLevel="0" collapsed="false">
      <c r="A22" s="4" t="s">
        <v>124</v>
      </c>
      <c r="B22" s="6" t="s">
        <v>125</v>
      </c>
      <c r="C22" s="6" t="n">
        <v>0.15</v>
      </c>
      <c r="D22" s="6" t="e">
        <f aca="false">#REF!</f>
        <v>#REF!</v>
      </c>
      <c r="E22" s="7" t="e">
        <f aca="false">D22*C22</f>
        <v>#REF!</v>
      </c>
      <c r="F22" s="15" t="e">
        <f aca="false">SUM(E22:E27)</f>
        <v>#REF!</v>
      </c>
      <c r="G22" s="20" t="n">
        <v>2000</v>
      </c>
      <c r="H22" s="9" t="e">
        <f aca="false">(G22-F22)/F22*100</f>
        <v>#REF!</v>
      </c>
    </row>
    <row r="23" customFormat="false" ht="15.75" hidden="false" customHeight="false" outlineLevel="0" collapsed="false">
      <c r="A23" s="4"/>
      <c r="B23" s="21" t="s">
        <v>126</v>
      </c>
      <c r="C23" s="6" t="n">
        <v>0.1</v>
      </c>
      <c r="D23" s="6" t="e">
        <f aca="false">#REF!</f>
        <v>#REF!</v>
      </c>
      <c r="E23" s="7" t="e">
        <f aca="false">D23*C23</f>
        <v>#REF!</v>
      </c>
      <c r="F23" s="15"/>
      <c r="G23" s="15"/>
      <c r="H23" s="15"/>
    </row>
    <row r="24" customFormat="false" ht="15.75" hidden="false" customHeight="false" outlineLevel="0" collapsed="false">
      <c r="A24" s="4"/>
      <c r="B24" s="21" t="s">
        <v>109</v>
      </c>
      <c r="C24" s="6" t="n">
        <v>0.2</v>
      </c>
      <c r="D24" s="6" t="n">
        <v>250</v>
      </c>
      <c r="E24" s="7" t="n">
        <f aca="false">D24*C24</f>
        <v>50</v>
      </c>
      <c r="F24" s="15"/>
      <c r="G24" s="15"/>
      <c r="H24" s="15"/>
    </row>
    <row r="25" customFormat="false" ht="15.75" hidden="false" customHeight="false" outlineLevel="0" collapsed="false">
      <c r="A25" s="4"/>
      <c r="B25" s="21" t="s">
        <v>110</v>
      </c>
      <c r="C25" s="6" t="n">
        <v>0.3</v>
      </c>
      <c r="D25" s="6" t="e">
        <f aca="false">#REF!</f>
        <v>#REF!</v>
      </c>
      <c r="E25" s="7" t="e">
        <f aca="false">D25*C25</f>
        <v>#REF!</v>
      </c>
      <c r="F25" s="15"/>
      <c r="G25" s="15"/>
      <c r="H25" s="15"/>
    </row>
    <row r="26" customFormat="false" ht="15.75" hidden="false" customHeight="false" outlineLevel="0" collapsed="false">
      <c r="A26" s="4"/>
      <c r="B26" s="21" t="s">
        <v>127</v>
      </c>
      <c r="C26" s="6" t="n">
        <v>0.1</v>
      </c>
      <c r="D26" s="6" t="n">
        <v>420</v>
      </c>
      <c r="E26" s="7" t="n">
        <f aca="false">D26*C26</f>
        <v>42</v>
      </c>
      <c r="F26" s="15"/>
      <c r="G26" s="15"/>
      <c r="H26" s="15"/>
    </row>
    <row r="27" customFormat="false" ht="15.75" hidden="false" customHeight="false" outlineLevel="0" collapsed="false">
      <c r="A27" s="4"/>
      <c r="B27" s="21"/>
      <c r="C27" s="6"/>
      <c r="D27" s="6"/>
      <c r="E27" s="7" t="n">
        <f aca="false">D27*C27</f>
        <v>0</v>
      </c>
      <c r="F27" s="15"/>
      <c r="G27" s="20"/>
      <c r="H27" s="9"/>
    </row>
    <row r="28" customFormat="false" ht="15.75" hidden="false" customHeight="false" outlineLevel="0" collapsed="false">
      <c r="A28" s="4" t="s">
        <v>128</v>
      </c>
      <c r="B28" s="6" t="s">
        <v>129</v>
      </c>
      <c r="C28" s="6" t="n">
        <v>0.2</v>
      </c>
      <c r="D28" s="6" t="e">
        <f aca="false">#REF!</f>
        <v>#REF!</v>
      </c>
      <c r="E28" s="7" t="e">
        <f aca="false">D28*C28</f>
        <v>#REF!</v>
      </c>
      <c r="F28" s="15" t="e">
        <f aca="false">SUM(E28:E33)</f>
        <v>#REF!</v>
      </c>
      <c r="G28" s="20" t="n">
        <v>2000</v>
      </c>
      <c r="H28" s="9" t="e">
        <f aca="false">(G28-F28)/F28*100</f>
        <v>#REF!</v>
      </c>
    </row>
    <row r="29" customFormat="false" ht="15.75" hidden="false" customHeight="false" outlineLevel="0" collapsed="false">
      <c r="A29" s="4"/>
      <c r="B29" s="21" t="s">
        <v>126</v>
      </c>
      <c r="C29" s="6" t="n">
        <v>0.1</v>
      </c>
      <c r="D29" s="6" t="e">
        <f aca="false">#REF!</f>
        <v>#REF!</v>
      </c>
      <c r="E29" s="7" t="e">
        <f aca="false">D29*C29</f>
        <v>#REF!</v>
      </c>
      <c r="F29" s="15"/>
      <c r="G29" s="15"/>
      <c r="H29" s="15"/>
    </row>
    <row r="30" customFormat="false" ht="15.75" hidden="false" customHeight="false" outlineLevel="0" collapsed="false">
      <c r="A30" s="4"/>
      <c r="B30" s="21" t="s">
        <v>109</v>
      </c>
      <c r="C30" s="6" t="n">
        <v>0.2</v>
      </c>
      <c r="D30" s="6" t="n">
        <v>250</v>
      </c>
      <c r="E30" s="7" t="n">
        <f aca="false">D30*C30</f>
        <v>50</v>
      </c>
      <c r="F30" s="15"/>
      <c r="G30" s="15"/>
      <c r="H30" s="15"/>
    </row>
    <row r="31" customFormat="false" ht="15.75" hidden="false" customHeight="false" outlineLevel="0" collapsed="false">
      <c r="A31" s="4"/>
      <c r="B31" s="21" t="s">
        <v>130</v>
      </c>
      <c r="C31" s="6" t="n">
        <v>0.35</v>
      </c>
      <c r="D31" s="6" t="e">
        <f aca="false">#REF!</f>
        <v>#REF!</v>
      </c>
      <c r="E31" s="7" t="e">
        <f aca="false">D31*C31</f>
        <v>#REF!</v>
      </c>
      <c r="F31" s="15"/>
      <c r="G31" s="15"/>
      <c r="H31" s="15"/>
    </row>
    <row r="32" customFormat="false" ht="15.75" hidden="false" customHeight="false" outlineLevel="0" collapsed="false">
      <c r="A32" s="4"/>
      <c r="B32" s="21"/>
      <c r="C32" s="6"/>
      <c r="D32" s="6"/>
      <c r="E32" s="7" t="n">
        <f aca="false">D32*C32</f>
        <v>0</v>
      </c>
      <c r="F32" s="15"/>
      <c r="G32" s="15"/>
      <c r="H32" s="15"/>
    </row>
    <row r="33" customFormat="false" ht="15.75" hidden="false" customHeight="false" outlineLevel="0" collapsed="false">
      <c r="A33" s="4"/>
      <c r="B33" s="21"/>
      <c r="C33" s="6"/>
      <c r="D33" s="6"/>
      <c r="E33" s="7" t="n">
        <f aca="false">D33*C33</f>
        <v>0</v>
      </c>
      <c r="F33" s="15"/>
      <c r="G33" s="20"/>
      <c r="H33" s="9"/>
    </row>
    <row r="34" customFormat="false" ht="15.75" hidden="false" customHeight="false" outlineLevel="0" collapsed="false">
      <c r="A34" s="4" t="s">
        <v>131</v>
      </c>
      <c r="B34" s="6" t="s">
        <v>132</v>
      </c>
      <c r="C34" s="6" t="n">
        <v>0.25</v>
      </c>
      <c r="D34" s="6" t="e">
        <f aca="false">#REF!</f>
        <v>#REF!</v>
      </c>
      <c r="E34" s="7" t="e">
        <f aca="false">D34*C34</f>
        <v>#REF!</v>
      </c>
      <c r="F34" s="15" t="e">
        <f aca="false">SUM(E34:E39)</f>
        <v>#REF!</v>
      </c>
      <c r="G34" s="20" t="n">
        <v>2000</v>
      </c>
      <c r="H34" s="9" t="e">
        <f aca="false">(G34-F34)/F34*100</f>
        <v>#REF!</v>
      </c>
    </row>
    <row r="35" customFormat="false" ht="15.75" hidden="false" customHeight="false" outlineLevel="0" collapsed="false">
      <c r="A35" s="4"/>
      <c r="B35" s="21" t="s">
        <v>133</v>
      </c>
      <c r="C35" s="6" t="n">
        <v>0.125</v>
      </c>
      <c r="D35" s="6" t="e">
        <f aca="false">#REF!</f>
        <v>#REF!</v>
      </c>
      <c r="E35" s="7" t="e">
        <f aca="false">D35*C35</f>
        <v>#REF!</v>
      </c>
      <c r="F35" s="15"/>
      <c r="G35" s="15"/>
      <c r="H35" s="15"/>
    </row>
    <row r="36" customFormat="false" ht="15.75" hidden="false" customHeight="false" outlineLevel="0" collapsed="false">
      <c r="A36" s="4"/>
      <c r="B36" s="21" t="s">
        <v>134</v>
      </c>
      <c r="C36" s="6" t="n">
        <v>0.4</v>
      </c>
      <c r="D36" s="6" t="n">
        <v>250</v>
      </c>
      <c r="E36" s="7" t="n">
        <f aca="false">D36*C36</f>
        <v>100</v>
      </c>
      <c r="F36" s="15"/>
      <c r="G36" s="15"/>
      <c r="H36" s="15"/>
    </row>
    <row r="37" customFormat="false" ht="15.75" hidden="false" customHeight="false" outlineLevel="0" collapsed="false">
      <c r="A37" s="4"/>
      <c r="B37" s="21" t="s">
        <v>135</v>
      </c>
      <c r="C37" s="6" t="n">
        <v>0.125</v>
      </c>
      <c r="D37" s="6" t="n">
        <v>420</v>
      </c>
      <c r="E37" s="7" t="n">
        <f aca="false">D37*C37</f>
        <v>52.5</v>
      </c>
      <c r="F37" s="15"/>
      <c r="G37" s="15"/>
      <c r="H37" s="15"/>
    </row>
    <row r="38" customFormat="false" ht="15.75" hidden="false" customHeight="false" outlineLevel="0" collapsed="false">
      <c r="A38" s="4"/>
      <c r="B38" s="21" t="s">
        <v>136</v>
      </c>
      <c r="C38" s="6" t="n">
        <v>1</v>
      </c>
      <c r="D38" s="6" t="n">
        <v>150</v>
      </c>
      <c r="E38" s="7" t="n">
        <v>150</v>
      </c>
      <c r="F38" s="15"/>
      <c r="G38" s="15"/>
      <c r="H38" s="15"/>
    </row>
    <row r="39" customFormat="false" ht="15.75" hidden="false" customHeight="false" outlineLevel="0" collapsed="false">
      <c r="A39" s="4"/>
      <c r="B39" s="21"/>
      <c r="C39" s="6"/>
      <c r="D39" s="6"/>
      <c r="E39" s="7" t="n">
        <f aca="false">D39/1000*C39</f>
        <v>0</v>
      </c>
      <c r="F39" s="15"/>
      <c r="G39" s="20"/>
      <c r="H39" s="9"/>
    </row>
    <row r="40" customFormat="false" ht="15.75" hidden="false" customHeight="false" outlineLevel="0" collapsed="false">
      <c r="C40" s="14"/>
      <c r="D40" s="14"/>
      <c r="E40" s="14"/>
      <c r="F40" s="14"/>
      <c r="G40" s="14"/>
      <c r="H40" s="14"/>
    </row>
    <row r="41" customFormat="false" ht="15.75" hidden="false" customHeight="false" outlineLevel="0" collapsed="false">
      <c r="C41" s="14"/>
      <c r="D41" s="14"/>
      <c r="E41" s="14"/>
      <c r="F41" s="14"/>
      <c r="G41" s="14"/>
      <c r="H41" s="14"/>
    </row>
    <row r="42" customFormat="false" ht="15.75" hidden="false" customHeight="false" outlineLevel="0" collapsed="false">
      <c r="C42" s="14"/>
      <c r="D42" s="14"/>
      <c r="E42" s="14"/>
      <c r="F42" s="14"/>
      <c r="G42" s="14"/>
      <c r="H42" s="14"/>
    </row>
    <row r="43" customFormat="false" ht="15.75" hidden="false" customHeight="false" outlineLevel="0" collapsed="false">
      <c r="C43" s="14"/>
      <c r="D43" s="14"/>
      <c r="E43" s="14"/>
      <c r="F43" s="14"/>
      <c r="G43" s="14"/>
      <c r="H43" s="14"/>
    </row>
    <row r="44" customFormat="false" ht="15.75" hidden="false" customHeight="false" outlineLevel="0" collapsed="false">
      <c r="C44" s="14"/>
      <c r="D44" s="14"/>
      <c r="E44" s="14"/>
      <c r="F44" s="14"/>
      <c r="G44" s="14"/>
      <c r="H44" s="14"/>
    </row>
    <row r="45" customFormat="false" ht="15.75" hidden="false" customHeight="false" outlineLevel="0" collapsed="false">
      <c r="C45" s="14"/>
      <c r="D45" s="14"/>
      <c r="E45" s="14"/>
      <c r="F45" s="14"/>
      <c r="G45" s="14"/>
      <c r="H45" s="14"/>
    </row>
    <row r="46" customFormat="false" ht="15.75" hidden="false" customHeight="false" outlineLevel="0" collapsed="false">
      <c r="C46" s="14"/>
      <c r="D46" s="14"/>
      <c r="E46" s="14"/>
      <c r="F46" s="14"/>
      <c r="G46" s="14"/>
      <c r="H46" s="14"/>
    </row>
    <row r="47" customFormat="false" ht="15.75" hidden="false" customHeight="false" outlineLevel="0" collapsed="false">
      <c r="C47" s="14"/>
      <c r="D47" s="14"/>
      <c r="E47" s="14"/>
      <c r="F47" s="14"/>
      <c r="G47" s="14"/>
      <c r="H47" s="14"/>
    </row>
    <row r="48" customFormat="false" ht="15.75" hidden="false" customHeight="false" outlineLevel="0" collapsed="false">
      <c r="C48" s="14"/>
      <c r="D48" s="14"/>
      <c r="E48" s="14"/>
      <c r="F48" s="14"/>
      <c r="G48" s="14"/>
      <c r="H48" s="14"/>
    </row>
    <row r="49" customFormat="false" ht="15.75" hidden="false" customHeight="false" outlineLevel="0" collapsed="false">
      <c r="C49" s="14"/>
      <c r="D49" s="14"/>
      <c r="E49" s="14"/>
      <c r="F49" s="14"/>
      <c r="G49" s="14"/>
      <c r="H49" s="14"/>
    </row>
    <row r="50" customFormat="false" ht="15.75" hidden="false" customHeight="false" outlineLevel="0" collapsed="false">
      <c r="C50" s="14"/>
      <c r="D50" s="14"/>
      <c r="E50" s="14"/>
      <c r="F50" s="14"/>
      <c r="G50" s="14"/>
      <c r="H50" s="14"/>
    </row>
    <row r="51" customFormat="false" ht="15.75" hidden="false" customHeight="false" outlineLevel="0" collapsed="false">
      <c r="C51" s="14"/>
      <c r="D51" s="14"/>
      <c r="E51" s="14"/>
      <c r="F51" s="14"/>
      <c r="G51" s="14"/>
      <c r="H51" s="14"/>
    </row>
    <row r="52" customFormat="false" ht="15.75" hidden="false" customHeight="false" outlineLevel="0" collapsed="false">
      <c r="C52" s="14"/>
      <c r="D52" s="14"/>
      <c r="E52" s="14"/>
      <c r="F52" s="14"/>
      <c r="G52" s="14"/>
      <c r="H52" s="14"/>
    </row>
    <row r="53" customFormat="false" ht="15.75" hidden="false" customHeight="false" outlineLevel="0" collapsed="false">
      <c r="C53" s="14"/>
      <c r="D53" s="14"/>
      <c r="E53" s="14"/>
      <c r="F53" s="14"/>
      <c r="G53" s="14"/>
      <c r="H53" s="14"/>
    </row>
    <row r="54" customFormat="false" ht="15.75" hidden="false" customHeight="false" outlineLevel="0" collapsed="false">
      <c r="C54" s="14"/>
      <c r="D54" s="14"/>
      <c r="E54" s="14"/>
      <c r="F54" s="14"/>
      <c r="G54" s="14"/>
      <c r="H54" s="14"/>
    </row>
    <row r="55" customFormat="false" ht="15.75" hidden="false" customHeight="false" outlineLevel="0" collapsed="false">
      <c r="C55" s="14"/>
      <c r="D55" s="14"/>
      <c r="E55" s="14"/>
      <c r="F55" s="14"/>
      <c r="G55" s="14"/>
      <c r="H55" s="14"/>
    </row>
    <row r="56" customFormat="false" ht="15.75" hidden="false" customHeight="false" outlineLevel="0" collapsed="false">
      <c r="C56" s="14"/>
      <c r="D56" s="14"/>
      <c r="E56" s="14"/>
      <c r="F56" s="14"/>
      <c r="G56" s="14"/>
      <c r="H56" s="14"/>
    </row>
    <row r="57" customFormat="false" ht="15.75" hidden="false" customHeight="false" outlineLevel="0" collapsed="false">
      <c r="C57" s="14"/>
      <c r="D57" s="14"/>
      <c r="E57" s="14"/>
      <c r="F57" s="14"/>
      <c r="G57" s="14"/>
      <c r="H57" s="14"/>
    </row>
    <row r="58" customFormat="false" ht="15.75" hidden="false" customHeight="false" outlineLevel="0" collapsed="false">
      <c r="C58" s="14"/>
      <c r="D58" s="14"/>
      <c r="E58" s="14"/>
      <c r="F58" s="14"/>
      <c r="G58" s="14"/>
      <c r="H58" s="14"/>
    </row>
    <row r="59" customFormat="false" ht="15.75" hidden="false" customHeight="false" outlineLevel="0" collapsed="false">
      <c r="C59" s="14"/>
      <c r="D59" s="14"/>
      <c r="E59" s="14"/>
      <c r="F59" s="14"/>
      <c r="G59" s="14"/>
      <c r="H59" s="14"/>
    </row>
    <row r="60" customFormat="false" ht="15.75" hidden="false" customHeight="false" outlineLevel="0" collapsed="false">
      <c r="C60" s="14"/>
      <c r="D60" s="14"/>
      <c r="E60" s="14"/>
      <c r="F60" s="14"/>
      <c r="G60" s="14"/>
      <c r="H60" s="14"/>
    </row>
    <row r="61" customFormat="false" ht="15.75" hidden="false" customHeight="false" outlineLevel="0" collapsed="false">
      <c r="C61" s="14"/>
      <c r="D61" s="14"/>
      <c r="E61" s="14"/>
      <c r="F61" s="14"/>
      <c r="G61" s="14"/>
      <c r="H61" s="14"/>
    </row>
    <row r="62" customFormat="false" ht="15.75" hidden="false" customHeight="false" outlineLevel="0" collapsed="false">
      <c r="C62" s="14"/>
      <c r="D62" s="14"/>
      <c r="E62" s="14"/>
      <c r="F62" s="14"/>
      <c r="G62" s="14"/>
      <c r="H62" s="14"/>
    </row>
    <row r="63" customFormat="false" ht="15.75" hidden="false" customHeight="false" outlineLevel="0" collapsed="false">
      <c r="C63" s="14"/>
      <c r="D63" s="14"/>
      <c r="E63" s="14"/>
      <c r="F63" s="14"/>
      <c r="G63" s="14"/>
      <c r="H63" s="14"/>
    </row>
    <row r="64" customFormat="false" ht="15.75" hidden="false" customHeight="false" outlineLevel="0" collapsed="false">
      <c r="C64" s="14"/>
      <c r="D64" s="14"/>
      <c r="E64" s="14"/>
      <c r="F64" s="14"/>
      <c r="G64" s="14"/>
      <c r="H64" s="14"/>
    </row>
    <row r="65" customFormat="false" ht="15.75" hidden="false" customHeight="false" outlineLevel="0" collapsed="false">
      <c r="C65" s="14"/>
      <c r="D65" s="14"/>
      <c r="E65" s="14"/>
      <c r="F65" s="14"/>
      <c r="G65" s="14"/>
      <c r="H65" s="14"/>
    </row>
    <row r="66" customFormat="false" ht="15.75" hidden="false" customHeight="false" outlineLevel="0" collapsed="false">
      <c r="C66" s="14"/>
      <c r="D66" s="14"/>
      <c r="E66" s="14"/>
      <c r="F66" s="14"/>
      <c r="G66" s="14"/>
      <c r="H66" s="14"/>
    </row>
    <row r="67" customFormat="false" ht="15.75" hidden="false" customHeight="false" outlineLevel="0" collapsed="false">
      <c r="C67" s="14"/>
      <c r="D67" s="14"/>
      <c r="E67" s="14"/>
      <c r="F67" s="14"/>
      <c r="G67" s="14"/>
      <c r="H67" s="14"/>
    </row>
    <row r="68" customFormat="false" ht="15.75" hidden="false" customHeight="false" outlineLevel="0" collapsed="false">
      <c r="C68" s="14"/>
      <c r="D68" s="14"/>
      <c r="E68" s="14"/>
      <c r="F68" s="14"/>
      <c r="G68" s="14"/>
      <c r="H68" s="14"/>
    </row>
    <row r="69" customFormat="false" ht="15.75" hidden="false" customHeight="false" outlineLevel="0" collapsed="false">
      <c r="C69" s="14"/>
      <c r="D69" s="14"/>
      <c r="E69" s="14"/>
      <c r="F69" s="14"/>
      <c r="G69" s="14"/>
      <c r="H69" s="14"/>
    </row>
    <row r="70" customFormat="false" ht="15.75" hidden="false" customHeight="false" outlineLevel="0" collapsed="false">
      <c r="C70" s="14"/>
      <c r="D70" s="14"/>
      <c r="E70" s="14"/>
      <c r="F70" s="14"/>
      <c r="G70" s="14"/>
      <c r="H70" s="14"/>
    </row>
    <row r="71" customFormat="false" ht="15.75" hidden="false" customHeight="false" outlineLevel="0" collapsed="false">
      <c r="C71" s="14"/>
      <c r="D71" s="14"/>
      <c r="E71" s="14"/>
      <c r="F71" s="14"/>
      <c r="G71" s="14"/>
      <c r="H71" s="14"/>
    </row>
    <row r="72" customFormat="false" ht="15.75" hidden="false" customHeight="false" outlineLevel="0" collapsed="false">
      <c r="C72" s="14"/>
      <c r="D72" s="14"/>
      <c r="E72" s="14"/>
      <c r="F72" s="14"/>
      <c r="G72" s="14"/>
      <c r="H72" s="14"/>
    </row>
    <row r="73" customFormat="false" ht="15.75" hidden="false" customHeight="false" outlineLevel="0" collapsed="false">
      <c r="C73" s="14"/>
      <c r="D73" s="14"/>
      <c r="E73" s="14"/>
      <c r="F73" s="14"/>
      <c r="G73" s="14"/>
      <c r="H73" s="14"/>
    </row>
    <row r="74" customFormat="false" ht="15.75" hidden="false" customHeight="false" outlineLevel="0" collapsed="false">
      <c r="C74" s="14"/>
      <c r="D74" s="14"/>
      <c r="E74" s="14"/>
      <c r="F74" s="14"/>
      <c r="G74" s="14"/>
      <c r="H74" s="14"/>
    </row>
    <row r="75" customFormat="false" ht="15.75" hidden="false" customHeight="false" outlineLevel="0" collapsed="false">
      <c r="C75" s="14"/>
      <c r="D75" s="14"/>
      <c r="E75" s="14"/>
      <c r="F75" s="14"/>
      <c r="G75" s="14"/>
      <c r="H75" s="14"/>
    </row>
    <row r="76" customFormat="false" ht="15.75" hidden="false" customHeight="false" outlineLevel="0" collapsed="false">
      <c r="C76" s="14"/>
      <c r="D76" s="14"/>
      <c r="E76" s="14"/>
      <c r="F76" s="14"/>
      <c r="G76" s="14"/>
      <c r="H76" s="14"/>
    </row>
    <row r="77" customFormat="false" ht="15.75" hidden="false" customHeight="false" outlineLevel="0" collapsed="false">
      <c r="C77" s="14"/>
      <c r="D77" s="14"/>
      <c r="E77" s="14"/>
      <c r="F77" s="14"/>
      <c r="G77" s="14"/>
      <c r="H77" s="14"/>
    </row>
    <row r="78" customFormat="false" ht="15.75" hidden="false" customHeight="false" outlineLevel="0" collapsed="false">
      <c r="C78" s="14"/>
      <c r="D78" s="14"/>
      <c r="E78" s="14"/>
      <c r="F78" s="14"/>
      <c r="G78" s="14"/>
      <c r="H78" s="14"/>
    </row>
    <row r="79" customFormat="false" ht="15.75" hidden="false" customHeight="false" outlineLevel="0" collapsed="false">
      <c r="C79" s="14"/>
      <c r="D79" s="14"/>
      <c r="E79" s="14"/>
      <c r="F79" s="14"/>
      <c r="G79" s="14"/>
      <c r="H79" s="14"/>
    </row>
    <row r="80" customFormat="false" ht="15.75" hidden="false" customHeight="false" outlineLevel="0" collapsed="false">
      <c r="C80" s="14"/>
      <c r="D80" s="14"/>
      <c r="E80" s="14"/>
      <c r="F80" s="14"/>
      <c r="G80" s="14"/>
      <c r="H80" s="14"/>
    </row>
    <row r="81" customFormat="false" ht="15.75" hidden="false" customHeight="false" outlineLevel="0" collapsed="false">
      <c r="C81" s="14"/>
      <c r="D81" s="14"/>
      <c r="E81" s="14"/>
      <c r="F81" s="14"/>
      <c r="G81" s="14"/>
      <c r="H81" s="14"/>
    </row>
    <row r="82" customFormat="false" ht="15.75" hidden="false" customHeight="false" outlineLevel="0" collapsed="false">
      <c r="C82" s="14"/>
      <c r="D82" s="14"/>
      <c r="E82" s="14"/>
      <c r="F82" s="14"/>
      <c r="G82" s="14"/>
      <c r="H82" s="14"/>
    </row>
    <row r="83" customFormat="false" ht="15.75" hidden="false" customHeight="false" outlineLevel="0" collapsed="false">
      <c r="C83" s="14"/>
      <c r="D83" s="14"/>
      <c r="E83" s="14"/>
      <c r="F83" s="14"/>
      <c r="G83" s="14"/>
      <c r="H83" s="14"/>
    </row>
    <row r="84" customFormat="false" ht="15.75" hidden="false" customHeight="false" outlineLevel="0" collapsed="false">
      <c r="C84" s="14"/>
      <c r="D84" s="14"/>
      <c r="E84" s="14"/>
      <c r="F84" s="14"/>
      <c r="G84" s="14"/>
      <c r="H84" s="14"/>
    </row>
    <row r="85" customFormat="false" ht="15.75" hidden="false" customHeight="false" outlineLevel="0" collapsed="false">
      <c r="C85" s="14"/>
      <c r="D85" s="14"/>
      <c r="E85" s="14"/>
      <c r="F85" s="14"/>
      <c r="G85" s="14"/>
      <c r="H85" s="14"/>
    </row>
    <row r="86" customFormat="false" ht="15.75" hidden="false" customHeight="false" outlineLevel="0" collapsed="false">
      <c r="C86" s="14"/>
      <c r="D86" s="14"/>
      <c r="E86" s="14"/>
      <c r="F86" s="14"/>
      <c r="G86" s="14"/>
      <c r="H86" s="14"/>
    </row>
    <row r="87" customFormat="false" ht="15.75" hidden="false" customHeight="false" outlineLevel="0" collapsed="false">
      <c r="C87" s="14"/>
      <c r="D87" s="14"/>
      <c r="E87" s="14"/>
      <c r="F87" s="14"/>
      <c r="G87" s="14"/>
      <c r="H87" s="14"/>
    </row>
    <row r="88" customFormat="false" ht="15.75" hidden="false" customHeight="false" outlineLevel="0" collapsed="false">
      <c r="C88" s="14"/>
      <c r="D88" s="14"/>
      <c r="E88" s="14"/>
      <c r="F88" s="14"/>
      <c r="G88" s="14"/>
      <c r="H88" s="14"/>
    </row>
    <row r="89" customFormat="false" ht="15.75" hidden="false" customHeight="false" outlineLevel="0" collapsed="false">
      <c r="C89" s="14"/>
      <c r="D89" s="14"/>
      <c r="E89" s="14"/>
      <c r="F89" s="14"/>
      <c r="G89" s="14"/>
      <c r="H89" s="14"/>
    </row>
    <row r="90" customFormat="false" ht="15.75" hidden="false" customHeight="false" outlineLevel="0" collapsed="false">
      <c r="C90" s="14"/>
      <c r="D90" s="14"/>
      <c r="E90" s="14"/>
      <c r="F90" s="14"/>
      <c r="G90" s="14"/>
      <c r="H90" s="14"/>
    </row>
    <row r="91" customFormat="false" ht="15.75" hidden="false" customHeight="false" outlineLevel="0" collapsed="false">
      <c r="C91" s="14"/>
      <c r="D91" s="14"/>
      <c r="E91" s="14"/>
      <c r="F91" s="14"/>
      <c r="G91" s="14"/>
      <c r="H91" s="14"/>
    </row>
    <row r="92" customFormat="false" ht="15.75" hidden="false" customHeight="false" outlineLevel="0" collapsed="false"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C994" s="14"/>
      <c r="D994" s="14"/>
      <c r="E994" s="14"/>
      <c r="F994" s="14"/>
      <c r="G994" s="14"/>
      <c r="H994" s="14"/>
    </row>
    <row r="995" customFormat="false" ht="15.75" hidden="false" customHeight="false" outlineLevel="0" collapsed="false">
      <c r="C995" s="14"/>
      <c r="D995" s="14"/>
      <c r="E995" s="14"/>
      <c r="F995" s="14"/>
      <c r="G995" s="14"/>
      <c r="H995" s="14"/>
    </row>
    <row r="996" customFormat="false" ht="15.75" hidden="false" customHeight="false" outlineLevel="0" collapsed="false">
      <c r="C996" s="14"/>
      <c r="D996" s="14"/>
      <c r="E996" s="14"/>
      <c r="F996" s="14"/>
      <c r="G996" s="14"/>
      <c r="H996" s="14"/>
    </row>
    <row r="997" customFormat="false" ht="15.75" hidden="false" customHeight="false" outlineLevel="0" collapsed="false">
      <c r="C997" s="14"/>
      <c r="D997" s="14"/>
      <c r="E997" s="14"/>
      <c r="F997" s="14"/>
      <c r="G997" s="14"/>
      <c r="H997" s="14"/>
    </row>
  </sheetData>
  <mergeCells count="24">
    <mergeCell ref="A2:A7"/>
    <mergeCell ref="F2:F7"/>
    <mergeCell ref="G2:G7"/>
    <mergeCell ref="H2:H7"/>
    <mergeCell ref="A8:A14"/>
    <mergeCell ref="F8:F14"/>
    <mergeCell ref="G8:G14"/>
    <mergeCell ref="H8:H14"/>
    <mergeCell ref="A15:A21"/>
    <mergeCell ref="F15:F21"/>
    <mergeCell ref="G15:G21"/>
    <mergeCell ref="H15:H21"/>
    <mergeCell ref="A22:A27"/>
    <mergeCell ref="F22:F27"/>
    <mergeCell ref="G22:G27"/>
    <mergeCell ref="H22:H27"/>
    <mergeCell ref="A28:A33"/>
    <mergeCell ref="F28:F33"/>
    <mergeCell ref="G28:G33"/>
    <mergeCell ref="H28:H33"/>
    <mergeCell ref="A34:A39"/>
    <mergeCell ref="F34:F39"/>
    <mergeCell ref="G34:G39"/>
    <mergeCell ref="H34:H3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137</v>
      </c>
      <c r="B2" s="28" t="s">
        <v>138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20" t="e">
        <f aca="false">SUM(E2:E7)</f>
        <v>#REF!</v>
      </c>
      <c r="G2" s="20" t="n">
        <v>750</v>
      </c>
      <c r="H2" s="20" t="e">
        <f aca="false">(G2-F2)/F2*100</f>
        <v>#REF!</v>
      </c>
    </row>
    <row r="3" customFormat="false" ht="15.75" hidden="false" customHeight="false" outlineLevel="0" collapsed="false">
      <c r="A3" s="4"/>
      <c r="B3" s="28" t="s">
        <v>139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20"/>
      <c r="G3" s="20"/>
      <c r="H3" s="20"/>
    </row>
    <row r="4" customFormat="false" ht="15.75" hidden="false" customHeight="false" outlineLevel="0" collapsed="false">
      <c r="A4" s="4"/>
      <c r="B4" s="28" t="s">
        <v>140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20"/>
      <c r="G4" s="20"/>
      <c r="H4" s="20"/>
    </row>
    <row r="5" customFormat="false" ht="15.75" hidden="false" customHeight="false" outlineLevel="0" collapsed="false">
      <c r="A5" s="4"/>
      <c r="B5" s="28" t="s">
        <v>141</v>
      </c>
      <c r="C5" s="6" t="n">
        <v>0.015</v>
      </c>
      <c r="D5" s="6" t="n">
        <v>480</v>
      </c>
      <c r="E5" s="7" t="n">
        <f aca="false">D5*C5</f>
        <v>7.2</v>
      </c>
      <c r="F5" s="20"/>
      <c r="G5" s="20"/>
      <c r="H5" s="20"/>
    </row>
    <row r="6" customFormat="false" ht="15.75" hidden="false" customHeight="false" outlineLevel="0" collapsed="false">
      <c r="A6" s="4"/>
      <c r="B6" s="28" t="s">
        <v>142</v>
      </c>
      <c r="C6" s="6" t="n">
        <v>0.03</v>
      </c>
      <c r="D6" s="6" t="n">
        <v>260</v>
      </c>
      <c r="E6" s="7" t="n">
        <f aca="false">D6*C6</f>
        <v>7.8</v>
      </c>
      <c r="F6" s="20"/>
      <c r="G6" s="20"/>
      <c r="H6" s="20"/>
    </row>
    <row r="7" customFormat="false" ht="15.75" hidden="false" customHeight="false" outlineLevel="0" collapsed="false">
      <c r="A7" s="4"/>
      <c r="B7" s="28" t="s">
        <v>143</v>
      </c>
      <c r="C7" s="6" t="n">
        <v>0.06</v>
      </c>
      <c r="D7" s="6" t="n">
        <v>170</v>
      </c>
      <c r="E7" s="7" t="n">
        <f aca="false">D7*C7</f>
        <v>10.2</v>
      </c>
      <c r="F7" s="20"/>
      <c r="G7" s="20"/>
      <c r="H7" s="20"/>
    </row>
    <row r="8" customFormat="false" ht="15.75" hidden="false" customHeight="false" outlineLevel="0" collapsed="false">
      <c r="A8" s="4" t="s">
        <v>144</v>
      </c>
      <c r="B8" s="28" t="s">
        <v>145</v>
      </c>
      <c r="C8" s="6" t="n">
        <v>0.02</v>
      </c>
      <c r="D8" s="6" t="e">
        <f aca="false">#REF!</f>
        <v>#REF!</v>
      </c>
      <c r="E8" s="7" t="e">
        <f aca="false">D8*C8</f>
        <v>#REF!</v>
      </c>
      <c r="F8" s="15" t="e">
        <f aca="false">SUM(E8:E15)</f>
        <v>#REF!</v>
      </c>
      <c r="G8" s="26" t="n">
        <v>750</v>
      </c>
      <c r="H8" s="9" t="e">
        <f aca="false">(G8-F8)/F8*100</f>
        <v>#REF!</v>
      </c>
    </row>
    <row r="9" customFormat="false" ht="15.75" hidden="false" customHeight="false" outlineLevel="0" collapsed="false">
      <c r="A9" s="4"/>
      <c r="B9" s="28" t="s">
        <v>146</v>
      </c>
      <c r="C9" s="6" t="n">
        <v>0.02</v>
      </c>
      <c r="D9" s="6" t="e">
        <f aca="false">#REF!</f>
        <v>#REF!</v>
      </c>
      <c r="E9" s="7" t="e">
        <f aca="false">D9*C9</f>
        <v>#REF!</v>
      </c>
      <c r="F9" s="15"/>
      <c r="G9" s="15"/>
      <c r="H9" s="15"/>
    </row>
    <row r="10" customFormat="false" ht="15.75" hidden="false" customHeight="false" outlineLevel="0" collapsed="false">
      <c r="A10" s="4"/>
      <c r="B10" s="28" t="s">
        <v>147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15"/>
      <c r="G10" s="15"/>
      <c r="H10" s="15"/>
    </row>
    <row r="11" customFormat="false" ht="15.75" hidden="false" customHeight="false" outlineLevel="0" collapsed="false">
      <c r="A11" s="4"/>
      <c r="B11" s="28" t="s">
        <v>148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15"/>
      <c r="G11" s="15"/>
      <c r="H11" s="15"/>
    </row>
    <row r="12" customFormat="false" ht="15.75" hidden="false" customHeight="false" outlineLevel="0" collapsed="false">
      <c r="A12" s="4"/>
      <c r="B12" s="28" t="s">
        <v>149</v>
      </c>
      <c r="C12" s="6" t="n">
        <v>0.02</v>
      </c>
      <c r="D12" s="6" t="e">
        <f aca="false">#REF!</f>
        <v>#REF!</v>
      </c>
      <c r="E12" s="7" t="e">
        <f aca="false">D12*C12</f>
        <v>#REF!</v>
      </c>
      <c r="F12" s="15"/>
      <c r="G12" s="15"/>
      <c r="H12" s="15"/>
    </row>
    <row r="13" customFormat="false" ht="15.75" hidden="false" customHeight="false" outlineLevel="0" collapsed="false">
      <c r="A13" s="4"/>
      <c r="B13" s="28" t="s">
        <v>150</v>
      </c>
      <c r="C13" s="6" t="n">
        <v>0.005</v>
      </c>
      <c r="D13" s="6" t="n">
        <v>480</v>
      </c>
      <c r="E13" s="7" t="n">
        <f aca="false">D13*C13</f>
        <v>2.4</v>
      </c>
      <c r="F13" s="15"/>
      <c r="G13" s="15"/>
      <c r="H13" s="15"/>
    </row>
    <row r="14" customFormat="false" ht="15.75" hidden="false" customHeight="false" outlineLevel="0" collapsed="false">
      <c r="A14" s="4"/>
      <c r="B14" s="28" t="s">
        <v>151</v>
      </c>
      <c r="C14" s="6" t="n">
        <v>0.02</v>
      </c>
      <c r="D14" s="6" t="n">
        <v>260</v>
      </c>
      <c r="E14" s="7" t="n">
        <f aca="false">D14*C14</f>
        <v>5.2</v>
      </c>
      <c r="F14" s="15"/>
      <c r="G14" s="15"/>
      <c r="H14" s="15"/>
    </row>
    <row r="15" customFormat="false" ht="15.75" hidden="false" customHeight="false" outlineLevel="0" collapsed="false">
      <c r="A15" s="4"/>
      <c r="B15" s="28" t="s">
        <v>152</v>
      </c>
      <c r="C15" s="6" t="n">
        <v>0.05</v>
      </c>
      <c r="D15" s="6" t="e">
        <f aca="false">#REF!</f>
        <v>#REF!</v>
      </c>
      <c r="E15" s="7" t="e">
        <f aca="false">D15*C15</f>
        <v>#REF!</v>
      </c>
      <c r="F15" s="15"/>
      <c r="G15" s="26"/>
      <c r="H15" s="9"/>
    </row>
    <row r="16" customFormat="false" ht="15.75" hidden="false" customHeight="false" outlineLevel="0" collapsed="false">
      <c r="A16" s="4" t="s">
        <v>153</v>
      </c>
      <c r="B16" s="13" t="s">
        <v>154</v>
      </c>
      <c r="C16" s="6" t="n">
        <v>0.04</v>
      </c>
      <c r="D16" s="6" t="e">
        <f aca="false">#REF!</f>
        <v>#REF!</v>
      </c>
      <c r="E16" s="7" t="e">
        <f aca="false">D16*C16</f>
        <v>#REF!</v>
      </c>
      <c r="F16" s="15" t="e">
        <f aca="false">SUM(E16:E22)</f>
        <v>#REF!</v>
      </c>
      <c r="G16" s="26" t="n">
        <v>750</v>
      </c>
      <c r="H16" s="9" t="e">
        <f aca="false">(G16-F16)/F16*100</f>
        <v>#REF!</v>
      </c>
    </row>
    <row r="17" customFormat="false" ht="15.75" hidden="false" customHeight="false" outlineLevel="0" collapsed="false">
      <c r="A17" s="4"/>
      <c r="B17" s="28" t="s">
        <v>155</v>
      </c>
      <c r="C17" s="6" t="n">
        <v>0.02</v>
      </c>
      <c r="D17" s="6" t="n">
        <v>260</v>
      </c>
      <c r="E17" s="7" t="n">
        <f aca="false">D17*C17</f>
        <v>5.2</v>
      </c>
      <c r="F17" s="15"/>
      <c r="G17" s="15"/>
      <c r="H17" s="15"/>
    </row>
    <row r="18" customFormat="false" ht="15.75" hidden="false" customHeight="false" outlineLevel="0" collapsed="false">
      <c r="A18" s="4"/>
      <c r="B18" s="28" t="s">
        <v>156</v>
      </c>
      <c r="C18" s="6" t="n">
        <v>0.02</v>
      </c>
      <c r="D18" s="6" t="n">
        <v>480</v>
      </c>
      <c r="E18" s="7" t="n">
        <f aca="false">D18*C18</f>
        <v>9.6</v>
      </c>
      <c r="F18" s="15"/>
      <c r="G18" s="15"/>
      <c r="H18" s="15"/>
    </row>
    <row r="19" customFormat="false" ht="15.75" hidden="false" customHeight="false" outlineLevel="0" collapsed="false">
      <c r="A19" s="4"/>
      <c r="B19" s="28" t="s">
        <v>157</v>
      </c>
      <c r="C19" s="6" t="n">
        <v>0.02</v>
      </c>
      <c r="D19" s="6" t="n">
        <v>480</v>
      </c>
      <c r="E19" s="7" t="n">
        <f aca="false">D19*C19</f>
        <v>9.6</v>
      </c>
      <c r="F19" s="15"/>
      <c r="G19" s="15"/>
      <c r="H19" s="15"/>
    </row>
    <row r="20" customFormat="false" ht="15.75" hidden="false" customHeight="false" outlineLevel="0" collapsed="false">
      <c r="A20" s="4"/>
      <c r="B20" s="28" t="s">
        <v>158</v>
      </c>
      <c r="C20" s="6" t="n">
        <v>0.08</v>
      </c>
      <c r="D20" s="6" t="e">
        <f aca="false">#REF!</f>
        <v>#REF!</v>
      </c>
      <c r="E20" s="7" t="e">
        <f aca="false">D20*C20</f>
        <v>#REF!</v>
      </c>
      <c r="F20" s="15"/>
      <c r="G20" s="15"/>
      <c r="H20" s="15"/>
    </row>
    <row r="21" customFormat="false" ht="15.75" hidden="false" customHeight="false" outlineLevel="0" collapsed="false">
      <c r="A21" s="4"/>
      <c r="B21" s="28"/>
      <c r="C21" s="6"/>
      <c r="D21" s="6"/>
      <c r="E21" s="7" t="n">
        <f aca="false">D21*C21</f>
        <v>0</v>
      </c>
      <c r="F21" s="15"/>
      <c r="G21" s="15"/>
      <c r="H21" s="15"/>
    </row>
    <row r="22" customFormat="false" ht="15.75" hidden="false" customHeight="false" outlineLevel="0" collapsed="false">
      <c r="A22" s="4"/>
      <c r="B22" s="29"/>
      <c r="C22" s="6"/>
      <c r="D22" s="6"/>
      <c r="E22" s="7" t="n">
        <f aca="false">D22*C22</f>
        <v>0</v>
      </c>
      <c r="F22" s="15"/>
      <c r="G22" s="26"/>
      <c r="H22" s="9"/>
    </row>
    <row r="23" customFormat="false" ht="15.75" hidden="false" customHeight="false" outlineLevel="0" collapsed="false">
      <c r="A23" s="4" t="s">
        <v>159</v>
      </c>
      <c r="B23" s="30" t="s">
        <v>138</v>
      </c>
      <c r="C23" s="6" t="n">
        <v>0.04</v>
      </c>
      <c r="D23" s="6" t="e">
        <f aca="false">#REF!</f>
        <v>#REF!</v>
      </c>
      <c r="E23" s="7" t="e">
        <f aca="false">D23*C23</f>
        <v>#REF!</v>
      </c>
      <c r="F23" s="15" t="e">
        <f aca="false">SUM(E23:E28)</f>
        <v>#REF!</v>
      </c>
      <c r="G23" s="20" t="n">
        <v>750</v>
      </c>
      <c r="H23" s="9" t="e">
        <f aca="false">(G23-F23)/F23*100</f>
        <v>#REF!</v>
      </c>
    </row>
    <row r="24" customFormat="false" ht="15.75" hidden="false" customHeight="false" outlineLevel="0" collapsed="false">
      <c r="A24" s="4"/>
      <c r="B24" s="31" t="s">
        <v>160</v>
      </c>
      <c r="C24" s="6" t="n">
        <v>0.02</v>
      </c>
      <c r="D24" s="6" t="e">
        <f aca="false">#REF!</f>
        <v>#REF!</v>
      </c>
      <c r="E24" s="7" t="e">
        <f aca="false">D24*C24</f>
        <v>#REF!</v>
      </c>
      <c r="F24" s="15"/>
      <c r="G24" s="15"/>
      <c r="H24" s="15"/>
    </row>
    <row r="25" customFormat="false" ht="15.75" hidden="false" customHeight="false" outlineLevel="0" collapsed="false">
      <c r="A25" s="4"/>
      <c r="B25" s="31" t="s">
        <v>161</v>
      </c>
      <c r="C25" s="6" t="n">
        <v>0.04</v>
      </c>
      <c r="D25" s="6" t="n">
        <v>260</v>
      </c>
      <c r="E25" s="7" t="n">
        <f aca="false">D25*C25</f>
        <v>10.4</v>
      </c>
      <c r="F25" s="15"/>
      <c r="G25" s="15"/>
      <c r="H25" s="15"/>
    </row>
    <row r="26" customFormat="false" ht="15.75" hidden="false" customHeight="false" outlineLevel="0" collapsed="false">
      <c r="A26" s="4"/>
      <c r="B26" s="31" t="s">
        <v>162</v>
      </c>
      <c r="C26" s="6" t="n">
        <v>0.02</v>
      </c>
      <c r="D26" s="6" t="e">
        <f aca="false">#REF!</f>
        <v>#REF!</v>
      </c>
      <c r="E26" s="7" t="e">
        <f aca="false">D26*C26</f>
        <v>#REF!</v>
      </c>
      <c r="F26" s="15"/>
      <c r="G26" s="15"/>
      <c r="H26" s="15"/>
    </row>
    <row r="27" customFormat="false" ht="15.75" hidden="false" customHeight="false" outlineLevel="0" collapsed="false">
      <c r="A27" s="4"/>
      <c r="B27" s="31" t="s">
        <v>163</v>
      </c>
      <c r="C27" s="6" t="n">
        <v>0.04</v>
      </c>
      <c r="D27" s="6" t="n">
        <v>170</v>
      </c>
      <c r="E27" s="7" t="n">
        <f aca="false">D27*C27</f>
        <v>6.8</v>
      </c>
      <c r="F27" s="15"/>
      <c r="G27" s="15"/>
      <c r="H27" s="15"/>
    </row>
    <row r="28" customFormat="false" ht="15.75" hidden="false" customHeight="false" outlineLevel="0" collapsed="false">
      <c r="A28" s="4"/>
      <c r="B28" s="31" t="s">
        <v>164</v>
      </c>
      <c r="C28" s="6" t="n">
        <v>0.02</v>
      </c>
      <c r="D28" s="6" t="n">
        <v>170</v>
      </c>
      <c r="E28" s="7" t="n">
        <f aca="false">D28*C28</f>
        <v>3.4</v>
      </c>
      <c r="F28" s="15"/>
      <c r="G28" s="20"/>
      <c r="H28" s="9"/>
    </row>
    <row r="29" customFormat="false" ht="15.75" hidden="false" customHeight="false" outlineLevel="0" collapsed="false">
      <c r="A29" s="4" t="s">
        <v>165</v>
      </c>
      <c r="B29" s="30" t="s">
        <v>166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15" t="e">
        <f aca="false">SUM(E29:E34)</f>
        <v>#REF!</v>
      </c>
      <c r="G29" s="20" t="n">
        <v>750</v>
      </c>
      <c r="H29" s="9" t="e">
        <f aca="false">(G29-F29)/F29*100</f>
        <v>#REF!</v>
      </c>
    </row>
    <row r="30" customFormat="false" ht="15.75" hidden="false" customHeight="false" outlineLevel="0" collapsed="false">
      <c r="A30" s="4"/>
      <c r="B30" s="31" t="s">
        <v>167</v>
      </c>
      <c r="C30" s="6" t="n">
        <v>0.06</v>
      </c>
      <c r="D30" s="6" t="n">
        <v>260</v>
      </c>
      <c r="E30" s="7" t="n">
        <f aca="false">D30*C30</f>
        <v>15.6</v>
      </c>
      <c r="F30" s="15"/>
      <c r="G30" s="15"/>
      <c r="H30" s="15"/>
    </row>
    <row r="31" customFormat="false" ht="15.75" hidden="false" customHeight="false" outlineLevel="0" collapsed="false">
      <c r="A31" s="4"/>
      <c r="B31" s="31" t="s">
        <v>168</v>
      </c>
      <c r="C31" s="6" t="n">
        <v>0.02</v>
      </c>
      <c r="D31" s="6" t="n">
        <v>480</v>
      </c>
      <c r="E31" s="7" t="n">
        <f aca="false">D31*C31</f>
        <v>9.6</v>
      </c>
      <c r="F31" s="15"/>
      <c r="G31" s="15"/>
      <c r="H31" s="15"/>
    </row>
    <row r="32" customFormat="false" ht="15.75" hidden="false" customHeight="false" outlineLevel="0" collapsed="false">
      <c r="A32" s="4"/>
      <c r="B32" s="31" t="s">
        <v>169</v>
      </c>
      <c r="C32" s="6" t="n">
        <v>0.03</v>
      </c>
      <c r="D32" s="6" t="e">
        <f aca="false">#REF!</f>
        <v>#REF!</v>
      </c>
      <c r="E32" s="7" t="e">
        <f aca="false">D32*C32</f>
        <v>#REF!</v>
      </c>
      <c r="F32" s="15"/>
      <c r="G32" s="15"/>
      <c r="H32" s="15"/>
    </row>
    <row r="33" customFormat="false" ht="15.75" hidden="false" customHeight="false" outlineLevel="0" collapsed="false">
      <c r="A33" s="4"/>
      <c r="B33" s="31" t="s">
        <v>170</v>
      </c>
      <c r="C33" s="6" t="n">
        <v>0.06</v>
      </c>
      <c r="D33" s="6" t="n">
        <v>170</v>
      </c>
      <c r="E33" s="7" t="n">
        <f aca="false">D33*C33</f>
        <v>10.2</v>
      </c>
      <c r="F33" s="15"/>
      <c r="G33" s="15"/>
      <c r="H33" s="15"/>
    </row>
    <row r="34" customFormat="false" ht="15.75" hidden="false" customHeight="false" outlineLevel="0" collapsed="false">
      <c r="A34" s="4"/>
      <c r="B34" s="31"/>
      <c r="C34" s="6"/>
      <c r="D34" s="6"/>
      <c r="E34" s="7" t="n">
        <f aca="false">D34*C34</f>
        <v>0</v>
      </c>
      <c r="F34" s="15"/>
      <c r="G34" s="20"/>
      <c r="H34" s="9"/>
    </row>
    <row r="35" customFormat="false" ht="15.75" hidden="false" customHeight="false" outlineLevel="0" collapsed="false">
      <c r="A35" s="3" t="s">
        <v>171</v>
      </c>
      <c r="B35" s="30" t="s">
        <v>172</v>
      </c>
      <c r="C35" s="6" t="n">
        <v>0.04</v>
      </c>
      <c r="D35" s="6" t="e">
        <f aca="false">#REF!</f>
        <v>#REF!</v>
      </c>
      <c r="E35" s="7" t="e">
        <f aca="false">D35*C35</f>
        <v>#REF!</v>
      </c>
      <c r="F35" s="15" t="e">
        <f aca="false">SUM(E35:E40)</f>
        <v>#REF!</v>
      </c>
      <c r="G35" s="20" t="n">
        <v>750</v>
      </c>
      <c r="H35" s="9" t="e">
        <f aca="false">(G35-F35)/F35*100</f>
        <v>#REF!</v>
      </c>
    </row>
    <row r="36" customFormat="false" ht="15.75" hidden="false" customHeight="false" outlineLevel="0" collapsed="false">
      <c r="A36" s="3"/>
      <c r="B36" s="30" t="s">
        <v>173</v>
      </c>
      <c r="C36" s="6" t="n">
        <v>0.02</v>
      </c>
      <c r="D36" s="6" t="e">
        <f aca="false">#REF!</f>
        <v>#REF!</v>
      </c>
      <c r="E36" s="7" t="e">
        <f aca="false">D36*C36</f>
        <v>#REF!</v>
      </c>
      <c r="F36" s="15"/>
      <c r="G36" s="15"/>
      <c r="H36" s="15"/>
    </row>
    <row r="37" customFormat="false" ht="15.75" hidden="false" customHeight="false" outlineLevel="0" collapsed="false">
      <c r="A37" s="3"/>
      <c r="B37" s="30" t="s">
        <v>174</v>
      </c>
      <c r="C37" s="6" t="n">
        <v>0.02</v>
      </c>
      <c r="D37" s="6" t="n">
        <v>480</v>
      </c>
      <c r="E37" s="7" t="n">
        <f aca="false">D37*C37</f>
        <v>9.6</v>
      </c>
      <c r="F37" s="15"/>
      <c r="G37" s="15"/>
      <c r="H37" s="15"/>
    </row>
    <row r="38" customFormat="false" ht="15.75" hidden="false" customHeight="false" outlineLevel="0" collapsed="false">
      <c r="A38" s="3"/>
      <c r="B38" s="30" t="s">
        <v>175</v>
      </c>
      <c r="C38" s="6" t="n">
        <v>0.06</v>
      </c>
      <c r="D38" s="6" t="n">
        <v>170</v>
      </c>
      <c r="E38" s="7" t="n">
        <f aca="false">D38*C38</f>
        <v>10.2</v>
      </c>
      <c r="F38" s="15"/>
      <c r="G38" s="15"/>
      <c r="H38" s="15"/>
    </row>
    <row r="39" customFormat="false" ht="15.75" hidden="false" customHeight="false" outlineLevel="0" collapsed="false">
      <c r="A39" s="3"/>
      <c r="B39" s="30" t="s">
        <v>176</v>
      </c>
      <c r="C39" s="6" t="n">
        <v>0.02</v>
      </c>
      <c r="D39" s="6" t="n">
        <v>260</v>
      </c>
      <c r="E39" s="7" t="n">
        <f aca="false">D39*C39</f>
        <v>5.2</v>
      </c>
      <c r="F39" s="15"/>
      <c r="G39" s="15"/>
      <c r="H39" s="15"/>
    </row>
    <row r="40" customFormat="false" ht="15.75" hidden="false" customHeight="false" outlineLevel="0" collapsed="false">
      <c r="A40" s="3"/>
      <c r="B40" s="30"/>
      <c r="C40" s="6"/>
      <c r="D40" s="6"/>
      <c r="E40" s="7" t="n">
        <f aca="false">D40*C40</f>
        <v>0</v>
      </c>
      <c r="F40" s="15"/>
      <c r="G40" s="20"/>
      <c r="H40" s="9"/>
    </row>
    <row r="41" customFormat="false" ht="15.75" hidden="false" customHeight="false" outlineLevel="0" collapsed="false">
      <c r="A41" s="3" t="s">
        <v>177</v>
      </c>
      <c r="B41" s="30" t="s">
        <v>17</v>
      </c>
      <c r="C41" s="6" t="n">
        <v>0.04</v>
      </c>
      <c r="D41" s="6" t="e">
        <f aca="false">#REF!</f>
        <v>#REF!</v>
      </c>
      <c r="E41" s="7" t="e">
        <f aca="false">D41*C41</f>
        <v>#REF!</v>
      </c>
      <c r="F41" s="15" t="e">
        <f aca="false">SUM(E41:E46)</f>
        <v>#REF!</v>
      </c>
      <c r="G41" s="20" t="n">
        <v>750</v>
      </c>
      <c r="H41" s="9" t="e">
        <f aca="false">(G41-F41)/F41*100</f>
        <v>#REF!</v>
      </c>
    </row>
    <row r="42" customFormat="false" ht="15.75" hidden="false" customHeight="false" outlineLevel="0" collapsed="false">
      <c r="A42" s="3"/>
      <c r="B42" s="30" t="s">
        <v>178</v>
      </c>
      <c r="C42" s="6" t="n">
        <v>0.04</v>
      </c>
      <c r="D42" s="6" t="e">
        <f aca="false">#REF!</f>
        <v>#REF!</v>
      </c>
      <c r="E42" s="7" t="e">
        <f aca="false">D42*C42</f>
        <v>#REF!</v>
      </c>
      <c r="F42" s="15"/>
      <c r="G42" s="15"/>
      <c r="H42" s="15"/>
    </row>
    <row r="43" customFormat="false" ht="15.75" hidden="false" customHeight="false" outlineLevel="0" collapsed="false">
      <c r="A43" s="3"/>
      <c r="B43" s="30" t="s">
        <v>179</v>
      </c>
      <c r="C43" s="6" t="n">
        <v>0.02</v>
      </c>
      <c r="D43" s="6" t="e">
        <f aca="false">#REF!</f>
        <v>#REF!</v>
      </c>
      <c r="E43" s="7" t="e">
        <f aca="false">D43*C43</f>
        <v>#REF!</v>
      </c>
      <c r="F43" s="15"/>
      <c r="G43" s="15"/>
      <c r="H43" s="15"/>
    </row>
    <row r="44" customFormat="false" ht="15.75" hidden="false" customHeight="false" outlineLevel="0" collapsed="false">
      <c r="A44" s="3"/>
      <c r="B44" s="30" t="s">
        <v>180</v>
      </c>
      <c r="C44" s="6" t="n">
        <v>0.04</v>
      </c>
      <c r="D44" s="6" t="n">
        <v>260</v>
      </c>
      <c r="E44" s="7" t="n">
        <f aca="false">D44*C44</f>
        <v>10.4</v>
      </c>
      <c r="F44" s="15"/>
      <c r="G44" s="15"/>
      <c r="H44" s="15"/>
    </row>
    <row r="45" customFormat="false" ht="15.75" hidden="false" customHeight="false" outlineLevel="0" collapsed="false">
      <c r="A45" s="3"/>
      <c r="B45" s="30" t="s">
        <v>181</v>
      </c>
      <c r="C45" s="6" t="n">
        <v>0.1</v>
      </c>
      <c r="D45" s="6" t="e">
        <f aca="false">#REF!</f>
        <v>#REF!</v>
      </c>
      <c r="E45" s="7" t="e">
        <f aca="false">D45*C45</f>
        <v>#REF!</v>
      </c>
      <c r="F45" s="15"/>
      <c r="G45" s="15"/>
      <c r="H45" s="15"/>
    </row>
    <row r="46" customFormat="false" ht="15.75" hidden="false" customHeight="false" outlineLevel="0" collapsed="false">
      <c r="A46" s="3"/>
      <c r="B46" s="30"/>
      <c r="C46" s="6"/>
      <c r="D46" s="6"/>
      <c r="E46" s="7" t="n">
        <f aca="false">D46*C46</f>
        <v>0</v>
      </c>
      <c r="F46" s="15"/>
      <c r="G46" s="20"/>
      <c r="H46" s="9"/>
    </row>
    <row r="47" customFormat="false" ht="15.75" hidden="false" customHeight="false" outlineLevel="0" collapsed="false">
      <c r="A47" s="3" t="s">
        <v>182</v>
      </c>
      <c r="B47" s="30" t="s">
        <v>183</v>
      </c>
      <c r="C47" s="6" t="n">
        <v>0.03</v>
      </c>
      <c r="D47" s="6" t="e">
        <f aca="false">#REF!</f>
        <v>#REF!</v>
      </c>
      <c r="E47" s="7" t="e">
        <f aca="false">D47*C47</f>
        <v>#REF!</v>
      </c>
      <c r="F47" s="15" t="e">
        <f aca="false">SUM(E47:E52)</f>
        <v>#REF!</v>
      </c>
      <c r="G47" s="20" t="n">
        <v>750</v>
      </c>
      <c r="H47" s="9" t="e">
        <f aca="false">(G47-F47)/F47*100</f>
        <v>#REF!</v>
      </c>
    </row>
    <row r="48" customFormat="false" ht="15.75" hidden="false" customHeight="false" outlineLevel="0" collapsed="false">
      <c r="A48" s="3"/>
      <c r="B48" s="30" t="s">
        <v>184</v>
      </c>
      <c r="C48" s="6" t="n">
        <v>0.025</v>
      </c>
      <c r="D48" s="6" t="e">
        <f aca="false">#REF!</f>
        <v>#REF!</v>
      </c>
      <c r="E48" s="7" t="e">
        <f aca="false">D48*C48</f>
        <v>#REF!</v>
      </c>
      <c r="F48" s="15"/>
      <c r="G48" s="15"/>
      <c r="H48" s="15"/>
    </row>
    <row r="49" customFormat="false" ht="15.75" hidden="false" customHeight="false" outlineLevel="0" collapsed="false">
      <c r="A49" s="3"/>
      <c r="B49" s="30" t="s">
        <v>185</v>
      </c>
      <c r="C49" s="6" t="n">
        <v>0.02</v>
      </c>
      <c r="D49" s="6" t="e">
        <f aca="false">#REF!</f>
        <v>#REF!</v>
      </c>
      <c r="E49" s="7" t="e">
        <f aca="false">D49*C49</f>
        <v>#REF!</v>
      </c>
      <c r="F49" s="15"/>
      <c r="G49" s="15"/>
      <c r="H49" s="15"/>
    </row>
    <row r="50" customFormat="false" ht="15.75" hidden="false" customHeight="false" outlineLevel="0" collapsed="false">
      <c r="A50" s="3"/>
      <c r="B50" s="30" t="s">
        <v>186</v>
      </c>
      <c r="C50" s="6" t="n">
        <v>0.03</v>
      </c>
      <c r="D50" s="6" t="e">
        <f aca="false">#REF!</f>
        <v>#REF!</v>
      </c>
      <c r="E50" s="7" t="e">
        <f aca="false">D50*C50</f>
        <v>#REF!</v>
      </c>
      <c r="F50" s="15"/>
      <c r="G50" s="15"/>
      <c r="H50" s="15"/>
    </row>
    <row r="51" customFormat="false" ht="15.75" hidden="false" customHeight="false" outlineLevel="0" collapsed="false">
      <c r="A51" s="3"/>
      <c r="B51" s="30"/>
      <c r="C51" s="6"/>
      <c r="D51" s="6"/>
      <c r="E51" s="7" t="n">
        <f aca="false">D51*C51</f>
        <v>0</v>
      </c>
      <c r="F51" s="15"/>
      <c r="G51" s="15"/>
      <c r="H51" s="15"/>
    </row>
    <row r="52" customFormat="false" ht="15.75" hidden="false" customHeight="false" outlineLevel="0" collapsed="false">
      <c r="A52" s="3"/>
      <c r="B52" s="30"/>
      <c r="C52" s="6"/>
      <c r="D52" s="6"/>
      <c r="E52" s="7" t="n">
        <f aca="false">D52*C52</f>
        <v>0</v>
      </c>
      <c r="F52" s="15"/>
      <c r="G52" s="20"/>
      <c r="H52" s="9"/>
    </row>
    <row r="53" customFormat="false" ht="15.75" hidden="false" customHeight="false" outlineLevel="0" collapsed="false">
      <c r="A53" s="3" t="s">
        <v>187</v>
      </c>
      <c r="B53" s="30" t="s">
        <v>188</v>
      </c>
      <c r="C53" s="6" t="n">
        <v>0.025</v>
      </c>
      <c r="D53" s="6" t="e">
        <f aca="false">#REF!</f>
        <v>#REF!</v>
      </c>
      <c r="E53" s="7" t="e">
        <f aca="false">D53*C53</f>
        <v>#REF!</v>
      </c>
      <c r="F53" s="15" t="e">
        <f aca="false">SUM(E53:E58)</f>
        <v>#REF!</v>
      </c>
      <c r="G53" s="20" t="n">
        <v>750</v>
      </c>
      <c r="H53" s="9" t="e">
        <f aca="false">(G53-F53)/F53*100</f>
        <v>#REF!</v>
      </c>
    </row>
    <row r="54" customFormat="false" ht="15.75" hidden="false" customHeight="false" outlineLevel="0" collapsed="false">
      <c r="A54" s="3"/>
      <c r="B54" s="30" t="s">
        <v>189</v>
      </c>
      <c r="C54" s="6" t="n">
        <v>0.025</v>
      </c>
      <c r="D54" s="6" t="e">
        <f aca="false">#REF!</f>
        <v>#REF!</v>
      </c>
      <c r="E54" s="7" t="e">
        <f aca="false">D54*C54</f>
        <v>#REF!</v>
      </c>
      <c r="F54" s="15"/>
      <c r="G54" s="15"/>
      <c r="H54" s="15"/>
    </row>
    <row r="55" customFormat="false" ht="15.75" hidden="false" customHeight="false" outlineLevel="0" collapsed="false">
      <c r="A55" s="3"/>
      <c r="B55" s="30" t="s">
        <v>190</v>
      </c>
      <c r="C55" s="6" t="n">
        <v>0.025</v>
      </c>
      <c r="D55" s="6" t="e">
        <f aca="false">#REF!</f>
        <v>#REF!</v>
      </c>
      <c r="E55" s="7" t="e">
        <f aca="false">D55*C55</f>
        <v>#REF!</v>
      </c>
      <c r="F55" s="15"/>
      <c r="G55" s="15"/>
      <c r="H55" s="15"/>
    </row>
    <row r="56" customFormat="false" ht="15.75" hidden="false" customHeight="false" outlineLevel="0" collapsed="false">
      <c r="A56" s="3"/>
      <c r="B56" s="30" t="s">
        <v>191</v>
      </c>
      <c r="C56" s="6" t="n">
        <v>0.025</v>
      </c>
      <c r="D56" s="6" t="e">
        <f aca="false">#REF!</f>
        <v>#REF!</v>
      </c>
      <c r="E56" s="7" t="e">
        <f aca="false">D56*C56</f>
        <v>#REF!</v>
      </c>
      <c r="F56" s="15"/>
      <c r="G56" s="15"/>
      <c r="H56" s="15"/>
    </row>
    <row r="57" customFormat="false" ht="15.75" hidden="false" customHeight="false" outlineLevel="0" collapsed="false">
      <c r="A57" s="3"/>
      <c r="B57" s="30" t="s">
        <v>192</v>
      </c>
      <c r="C57" s="6"/>
      <c r="D57" s="6"/>
      <c r="E57" s="7" t="n">
        <v>2</v>
      </c>
      <c r="F57" s="15"/>
      <c r="G57" s="15"/>
      <c r="H57" s="15"/>
    </row>
    <row r="58" customFormat="false" ht="15.75" hidden="false" customHeight="false" outlineLevel="0" collapsed="false">
      <c r="A58" s="3"/>
      <c r="B58" s="30"/>
      <c r="C58" s="6"/>
      <c r="D58" s="6"/>
      <c r="E58" s="7" t="n">
        <f aca="false">D58*C58</f>
        <v>0</v>
      </c>
      <c r="F58" s="15"/>
      <c r="G58" s="20"/>
      <c r="H58" s="9"/>
    </row>
    <row r="59" customFormat="false" ht="15.75" hidden="false" customHeight="false" outlineLevel="0" collapsed="false">
      <c r="A59" s="3" t="s">
        <v>193</v>
      </c>
      <c r="B59" s="30" t="s">
        <v>194</v>
      </c>
      <c r="C59" s="6" t="n">
        <v>0.03</v>
      </c>
      <c r="D59" s="6" t="e">
        <f aca="false">#REF!</f>
        <v>#REF!</v>
      </c>
      <c r="E59" s="7" t="e">
        <f aca="false">D59*C59</f>
        <v>#REF!</v>
      </c>
      <c r="F59" s="15" t="e">
        <f aca="false">SUM(E59:E64)</f>
        <v>#REF!</v>
      </c>
      <c r="G59" s="20" t="n">
        <v>750</v>
      </c>
      <c r="H59" s="9" t="e">
        <f aca="false">(G59-F59)/F59*100</f>
        <v>#REF!</v>
      </c>
    </row>
    <row r="60" customFormat="false" ht="15.75" hidden="false" customHeight="false" outlineLevel="0" collapsed="false">
      <c r="A60" s="3"/>
      <c r="B60" s="30" t="s">
        <v>195</v>
      </c>
      <c r="C60" s="6" t="n">
        <v>0.1</v>
      </c>
      <c r="D60" s="6" t="e">
        <f aca="false">#REF!</f>
        <v>#REF!</v>
      </c>
      <c r="E60" s="7" t="e">
        <f aca="false">D60*C60</f>
        <v>#REF!</v>
      </c>
      <c r="F60" s="15"/>
      <c r="G60" s="15"/>
      <c r="H60" s="15"/>
    </row>
    <row r="61" customFormat="false" ht="15.75" hidden="false" customHeight="false" outlineLevel="0" collapsed="false">
      <c r="A61" s="3"/>
      <c r="B61" s="30" t="s">
        <v>196</v>
      </c>
      <c r="C61" s="6" t="n">
        <v>0.03</v>
      </c>
      <c r="D61" s="6" t="e">
        <f aca="false">#REF!</f>
        <v>#REF!</v>
      </c>
      <c r="E61" s="7" t="e">
        <f aca="false">D61*C61</f>
        <v>#REF!</v>
      </c>
      <c r="F61" s="15"/>
      <c r="G61" s="15"/>
      <c r="H61" s="15"/>
    </row>
    <row r="62" customFormat="false" ht="15.75" hidden="false" customHeight="false" outlineLevel="0" collapsed="false">
      <c r="A62" s="3"/>
      <c r="B62" s="30" t="s">
        <v>141</v>
      </c>
      <c r="C62" s="6" t="n">
        <v>0.015</v>
      </c>
      <c r="D62" s="6" t="n">
        <v>480</v>
      </c>
      <c r="E62" s="7" t="n">
        <f aca="false">D62*C62</f>
        <v>7.2</v>
      </c>
      <c r="F62" s="15"/>
      <c r="G62" s="15"/>
      <c r="H62" s="15"/>
    </row>
    <row r="63" customFormat="false" ht="15.75" hidden="false" customHeight="false" outlineLevel="0" collapsed="false">
      <c r="A63" s="3"/>
      <c r="B63" s="30"/>
      <c r="C63" s="6"/>
      <c r="D63" s="6"/>
      <c r="E63" s="7" t="n">
        <f aca="false">D63*C63</f>
        <v>0</v>
      </c>
      <c r="F63" s="15"/>
      <c r="G63" s="15"/>
      <c r="H63" s="15"/>
    </row>
    <row r="64" customFormat="false" ht="15.75" hidden="false" customHeight="false" outlineLevel="0" collapsed="false">
      <c r="A64" s="3"/>
      <c r="B64" s="30"/>
      <c r="C64" s="6"/>
      <c r="D64" s="6"/>
      <c r="E64" s="7" t="n">
        <f aca="false">D64*C64</f>
        <v>0</v>
      </c>
      <c r="F64" s="15"/>
      <c r="G64" s="20"/>
      <c r="H64" s="9"/>
    </row>
    <row r="65" customFormat="false" ht="15.75" hidden="false" customHeight="false" outlineLevel="0" collapsed="false">
      <c r="B65" s="13"/>
      <c r="C65" s="14"/>
      <c r="D65" s="14"/>
      <c r="E65" s="14"/>
      <c r="F65" s="14"/>
      <c r="G65" s="14"/>
      <c r="H65" s="14"/>
    </row>
    <row r="66" customFormat="false" ht="15.75" hidden="false" customHeight="false" outlineLevel="0" collapsed="false">
      <c r="B66" s="13"/>
      <c r="C66" s="14"/>
      <c r="D66" s="14"/>
      <c r="E66" s="14"/>
      <c r="F66" s="14"/>
      <c r="G66" s="14"/>
      <c r="H66" s="14"/>
    </row>
    <row r="67" customFormat="false" ht="15.75" hidden="false" customHeight="false" outlineLevel="0" collapsed="false">
      <c r="B67" s="13"/>
      <c r="C67" s="14"/>
      <c r="D67" s="14"/>
      <c r="E67" s="14"/>
      <c r="F67" s="14"/>
      <c r="G67" s="14"/>
      <c r="H67" s="14"/>
    </row>
    <row r="68" customFormat="false" ht="15.75" hidden="false" customHeight="false" outlineLevel="0" collapsed="false">
      <c r="B68" s="13"/>
      <c r="C68" s="14"/>
      <c r="D68" s="14"/>
      <c r="E68" s="14"/>
      <c r="F68" s="14"/>
      <c r="G68" s="14"/>
      <c r="H68" s="14"/>
    </row>
    <row r="69" customFormat="false" ht="15.75" hidden="false" customHeight="false" outlineLevel="0" collapsed="false">
      <c r="B69" s="13"/>
      <c r="C69" s="14"/>
      <c r="D69" s="14"/>
      <c r="E69" s="14"/>
      <c r="F69" s="14"/>
      <c r="G69" s="14"/>
      <c r="H69" s="14"/>
    </row>
    <row r="70" customFormat="false" ht="15.75" hidden="false" customHeight="false" outlineLevel="0" collapsed="false">
      <c r="B70" s="13"/>
      <c r="C70" s="14"/>
      <c r="D70" s="14"/>
      <c r="E70" s="14"/>
      <c r="F70" s="14"/>
      <c r="G70" s="14"/>
      <c r="H70" s="14"/>
    </row>
    <row r="71" customFormat="false" ht="15.75" hidden="false" customHeight="false" outlineLevel="0" collapsed="false">
      <c r="B71" s="13"/>
      <c r="C71" s="14"/>
      <c r="D71" s="14"/>
      <c r="E71" s="14"/>
      <c r="F71" s="14"/>
      <c r="G71" s="14"/>
      <c r="H71" s="14"/>
    </row>
    <row r="72" customFormat="false" ht="15.75" hidden="false" customHeight="false" outlineLevel="0" collapsed="false">
      <c r="B72" s="13"/>
      <c r="C72" s="14"/>
      <c r="D72" s="14"/>
      <c r="E72" s="14"/>
      <c r="F72" s="14"/>
      <c r="G72" s="14"/>
      <c r="H72" s="14"/>
    </row>
    <row r="73" customFormat="false" ht="15.75" hidden="false" customHeight="false" outlineLevel="0" collapsed="false">
      <c r="B73" s="13"/>
      <c r="C73" s="14"/>
      <c r="D73" s="14"/>
      <c r="E73" s="14"/>
      <c r="F73" s="14"/>
      <c r="G73" s="14"/>
      <c r="H73" s="14"/>
    </row>
    <row r="74" customFormat="false" ht="15.75" hidden="false" customHeight="false" outlineLevel="0" collapsed="false">
      <c r="B74" s="13"/>
      <c r="C74" s="14"/>
      <c r="D74" s="14"/>
      <c r="E74" s="14"/>
      <c r="F74" s="14"/>
      <c r="G74" s="14"/>
      <c r="H74" s="14"/>
    </row>
    <row r="75" customFormat="false" ht="15.75" hidden="false" customHeight="false" outlineLevel="0" collapsed="false">
      <c r="B75" s="13"/>
      <c r="C75" s="14"/>
      <c r="D75" s="14"/>
      <c r="E75" s="14"/>
      <c r="F75" s="14"/>
      <c r="G75" s="14"/>
      <c r="H75" s="14"/>
    </row>
    <row r="76" customFormat="false" ht="15.75" hidden="false" customHeight="false" outlineLevel="0" collapsed="false">
      <c r="B76" s="13"/>
      <c r="C76" s="14"/>
      <c r="D76" s="14"/>
      <c r="E76" s="14"/>
      <c r="F76" s="14"/>
      <c r="G76" s="14"/>
      <c r="H76" s="14"/>
    </row>
    <row r="77" customFormat="false" ht="15.75" hidden="false" customHeight="false" outlineLevel="0" collapsed="false">
      <c r="B77" s="13"/>
      <c r="C77" s="14"/>
      <c r="D77" s="14"/>
      <c r="E77" s="14"/>
      <c r="F77" s="14"/>
      <c r="G77" s="14"/>
      <c r="H77" s="14"/>
    </row>
    <row r="78" customFormat="false" ht="15.75" hidden="false" customHeight="false" outlineLevel="0" collapsed="false">
      <c r="B78" s="13"/>
      <c r="C78" s="14"/>
      <c r="D78" s="14"/>
      <c r="E78" s="14"/>
      <c r="F78" s="14"/>
      <c r="G78" s="14"/>
      <c r="H78" s="14"/>
    </row>
    <row r="79" customFormat="false" ht="15.75" hidden="false" customHeight="false" outlineLevel="0" collapsed="false">
      <c r="B79" s="13"/>
      <c r="C79" s="14"/>
      <c r="D79" s="14"/>
      <c r="E79" s="14"/>
      <c r="F79" s="14"/>
      <c r="G79" s="14"/>
      <c r="H79" s="14"/>
    </row>
    <row r="80" customFormat="false" ht="15.75" hidden="false" customHeight="false" outlineLevel="0" collapsed="false">
      <c r="B80" s="13"/>
      <c r="C80" s="14"/>
      <c r="D80" s="14"/>
      <c r="E80" s="14"/>
      <c r="F80" s="14"/>
      <c r="G80" s="14"/>
      <c r="H80" s="14"/>
    </row>
    <row r="81" customFormat="false" ht="15.75" hidden="false" customHeight="false" outlineLevel="0" collapsed="false">
      <c r="B81" s="13"/>
      <c r="C81" s="14"/>
      <c r="D81" s="14"/>
      <c r="E81" s="14"/>
      <c r="F81" s="14"/>
      <c r="G81" s="14"/>
      <c r="H81" s="14"/>
    </row>
    <row r="82" customFormat="false" ht="15.75" hidden="false" customHeight="false" outlineLevel="0" collapsed="false">
      <c r="B82" s="13"/>
      <c r="C82" s="14"/>
      <c r="D82" s="14"/>
      <c r="E82" s="14"/>
      <c r="F82" s="14"/>
      <c r="G82" s="14"/>
      <c r="H82" s="14"/>
    </row>
    <row r="83" customFormat="false" ht="15.75" hidden="false" customHeight="false" outlineLevel="0" collapsed="false">
      <c r="B83" s="13"/>
      <c r="C83" s="14"/>
      <c r="D83" s="14"/>
      <c r="E83" s="14"/>
      <c r="F83" s="14"/>
      <c r="G83" s="14"/>
      <c r="H83" s="14"/>
    </row>
    <row r="84" customFormat="false" ht="15.75" hidden="false" customHeight="false" outlineLevel="0" collapsed="false">
      <c r="B84" s="13"/>
      <c r="C84" s="14"/>
      <c r="D84" s="14"/>
      <c r="E84" s="14"/>
      <c r="F84" s="14"/>
      <c r="G84" s="14"/>
      <c r="H84" s="14"/>
    </row>
    <row r="85" customFormat="false" ht="15.75" hidden="false" customHeight="false" outlineLevel="0" collapsed="false">
      <c r="B85" s="13"/>
      <c r="C85" s="14"/>
      <c r="D85" s="14"/>
      <c r="E85" s="14"/>
      <c r="F85" s="14"/>
      <c r="G85" s="14"/>
      <c r="H85" s="14"/>
    </row>
    <row r="86" customFormat="false" ht="15.75" hidden="false" customHeight="false" outlineLevel="0" collapsed="false">
      <c r="B86" s="13"/>
      <c r="C86" s="14"/>
      <c r="D86" s="14"/>
      <c r="E86" s="14"/>
      <c r="F86" s="14"/>
      <c r="G86" s="14"/>
      <c r="H86" s="14"/>
    </row>
    <row r="87" customFormat="false" ht="15.75" hidden="false" customHeight="false" outlineLevel="0" collapsed="false">
      <c r="B87" s="13"/>
      <c r="C87" s="14"/>
      <c r="D87" s="14"/>
      <c r="E87" s="14"/>
      <c r="F87" s="14"/>
      <c r="G87" s="14"/>
      <c r="H87" s="14"/>
    </row>
    <row r="88" customFormat="false" ht="15.75" hidden="false" customHeight="false" outlineLevel="0" collapsed="false">
      <c r="B88" s="13"/>
      <c r="C88" s="14"/>
      <c r="D88" s="14"/>
      <c r="E88" s="14"/>
      <c r="F88" s="14"/>
      <c r="G88" s="14"/>
      <c r="H88" s="14"/>
    </row>
    <row r="89" customFormat="false" ht="15.75" hidden="false" customHeight="false" outlineLevel="0" collapsed="false">
      <c r="B89" s="13"/>
      <c r="C89" s="14"/>
      <c r="D89" s="14"/>
      <c r="E89" s="14"/>
      <c r="F89" s="14"/>
      <c r="G89" s="14"/>
      <c r="H89" s="14"/>
    </row>
    <row r="90" customFormat="false" ht="15.75" hidden="false" customHeight="false" outlineLevel="0" collapsed="false">
      <c r="B90" s="13"/>
      <c r="C90" s="14"/>
      <c r="D90" s="14"/>
      <c r="E90" s="14"/>
      <c r="F90" s="14"/>
      <c r="G90" s="14"/>
      <c r="H90" s="14"/>
    </row>
    <row r="91" customFormat="false" ht="15.75" hidden="false" customHeight="false" outlineLevel="0" collapsed="false">
      <c r="B91" s="13"/>
      <c r="C91" s="14"/>
      <c r="D91" s="14"/>
      <c r="E91" s="14"/>
      <c r="F91" s="14"/>
      <c r="G91" s="14"/>
      <c r="H91" s="14"/>
    </row>
    <row r="92" customFormat="false" ht="15.75" hidden="false" customHeight="false" outlineLevel="0" collapsed="false">
      <c r="B92" s="13"/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B93" s="13"/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B94" s="13"/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B95" s="13"/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B96" s="13"/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B991" s="13"/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B992" s="13"/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B993" s="13"/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B994" s="13"/>
      <c r="C994" s="14"/>
      <c r="D994" s="14"/>
      <c r="E994" s="14"/>
      <c r="F994" s="14"/>
      <c r="G994" s="14"/>
      <c r="H994" s="14"/>
    </row>
    <row r="995" customFormat="false" ht="15.75" hidden="false" customHeight="false" outlineLevel="0" collapsed="false">
      <c r="B995" s="13"/>
      <c r="C995" s="14"/>
      <c r="D995" s="14"/>
      <c r="E995" s="14"/>
      <c r="F995" s="14"/>
      <c r="G995" s="14"/>
      <c r="H995" s="14"/>
    </row>
    <row r="996" customFormat="false" ht="15.75" hidden="false" customHeight="false" outlineLevel="0" collapsed="false">
      <c r="B996" s="13"/>
      <c r="C996" s="14"/>
      <c r="D996" s="14"/>
      <c r="E996" s="14"/>
      <c r="F996" s="14"/>
      <c r="G996" s="14"/>
      <c r="H996" s="14"/>
    </row>
    <row r="997" customFormat="false" ht="15.75" hidden="false" customHeight="false" outlineLevel="0" collapsed="false">
      <c r="B997" s="13"/>
      <c r="C997" s="14"/>
      <c r="D997" s="14"/>
      <c r="E997" s="14"/>
      <c r="F997" s="14"/>
      <c r="G997" s="14"/>
      <c r="H997" s="14"/>
    </row>
    <row r="998" customFormat="false" ht="15.75" hidden="false" customHeight="false" outlineLevel="0" collapsed="false">
      <c r="B998" s="13"/>
      <c r="C998" s="14"/>
      <c r="D998" s="14"/>
      <c r="E998" s="14"/>
      <c r="F998" s="14"/>
      <c r="G998" s="14"/>
      <c r="H998" s="14"/>
    </row>
    <row r="999" customFormat="false" ht="15.75" hidden="false" customHeight="false" outlineLevel="0" collapsed="false">
      <c r="B999" s="13"/>
    </row>
  </sheetData>
  <mergeCells count="40">
    <mergeCell ref="A2:A7"/>
    <mergeCell ref="F2:F7"/>
    <mergeCell ref="G2:G7"/>
    <mergeCell ref="H2:H7"/>
    <mergeCell ref="A8:A15"/>
    <mergeCell ref="F8:F15"/>
    <mergeCell ref="G8:G15"/>
    <mergeCell ref="H8:H15"/>
    <mergeCell ref="A16:A22"/>
    <mergeCell ref="F16:F22"/>
    <mergeCell ref="G16:G22"/>
    <mergeCell ref="H16:H22"/>
    <mergeCell ref="A23:A28"/>
    <mergeCell ref="F23:F28"/>
    <mergeCell ref="G23:G28"/>
    <mergeCell ref="H23:H28"/>
    <mergeCell ref="A29:A34"/>
    <mergeCell ref="F29:F34"/>
    <mergeCell ref="G29:G34"/>
    <mergeCell ref="H29:H34"/>
    <mergeCell ref="A35:A40"/>
    <mergeCell ref="F35:F40"/>
    <mergeCell ref="G35:G40"/>
    <mergeCell ref="H35:H40"/>
    <mergeCell ref="A41:A46"/>
    <mergeCell ref="F41:F46"/>
    <mergeCell ref="G41:G46"/>
    <mergeCell ref="H41:H46"/>
    <mergeCell ref="A47:A52"/>
    <mergeCell ref="F47:F52"/>
    <mergeCell ref="G47:G52"/>
    <mergeCell ref="H47:H52"/>
    <mergeCell ref="A53:A58"/>
    <mergeCell ref="F53:F58"/>
    <mergeCell ref="G53:G58"/>
    <mergeCell ref="H53:H58"/>
    <mergeCell ref="A59:A64"/>
    <mergeCell ref="F59:F64"/>
    <mergeCell ref="G59:G64"/>
    <mergeCell ref="H59:H64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true" outlineLevel="0" collapsed="false">
      <c r="A2" s="22" t="s">
        <v>197</v>
      </c>
      <c r="B2" s="5" t="s">
        <v>198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15" t="e">
        <f aca="false">SUM(E2:E9)</f>
        <v>#REF!</v>
      </c>
      <c r="G2" s="26" t="n">
        <v>1000</v>
      </c>
      <c r="H2" s="9" t="e">
        <f aca="false">(G2-F2)/F2*100</f>
        <v>#REF!</v>
      </c>
    </row>
    <row r="3" customFormat="false" ht="15.75" hidden="false" customHeight="false" outlineLevel="0" collapsed="false">
      <c r="A3" s="22"/>
      <c r="B3" s="5" t="s">
        <v>199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15"/>
      <c r="G3" s="15"/>
      <c r="H3" s="15"/>
    </row>
    <row r="4" customFormat="false" ht="15.75" hidden="false" customHeight="false" outlineLevel="0" collapsed="false">
      <c r="A4" s="22"/>
      <c r="B4" s="5" t="s">
        <v>200</v>
      </c>
      <c r="C4" s="6" t="n">
        <v>0.02</v>
      </c>
      <c r="D4" s="6" t="n">
        <v>480</v>
      </c>
      <c r="E4" s="7" t="n">
        <f aca="false">D4*C4</f>
        <v>9.6</v>
      </c>
      <c r="F4" s="15"/>
      <c r="G4" s="15"/>
      <c r="H4" s="15"/>
    </row>
    <row r="5" customFormat="false" ht="15.75" hidden="false" customHeight="false" outlineLevel="0" collapsed="false">
      <c r="A5" s="22"/>
      <c r="B5" s="5" t="s">
        <v>201</v>
      </c>
      <c r="C5" s="6" t="n">
        <v>0.05</v>
      </c>
      <c r="D5" s="6" t="n">
        <v>170</v>
      </c>
      <c r="E5" s="7" t="n">
        <f aca="false">D5*C5</f>
        <v>8.5</v>
      </c>
      <c r="F5" s="15"/>
      <c r="G5" s="15"/>
      <c r="H5" s="15"/>
    </row>
    <row r="6" customFormat="false" ht="15.75" hidden="false" customHeight="false" outlineLevel="0" collapsed="false">
      <c r="A6" s="22"/>
      <c r="B6" s="5" t="s">
        <v>60</v>
      </c>
      <c r="C6" s="6" t="n">
        <v>0.03</v>
      </c>
      <c r="D6" s="6" t="n">
        <v>260</v>
      </c>
      <c r="E6" s="7" t="n">
        <f aca="false">D6*C6</f>
        <v>7.8</v>
      </c>
      <c r="F6" s="15"/>
      <c r="G6" s="15"/>
      <c r="H6" s="15"/>
    </row>
    <row r="7" customFormat="false" ht="15.75" hidden="false" customHeight="false" outlineLevel="0" collapsed="false">
      <c r="A7" s="22"/>
      <c r="B7" s="5" t="s">
        <v>202</v>
      </c>
      <c r="C7" s="6" t="n">
        <v>0.03</v>
      </c>
      <c r="D7" s="6" t="e">
        <f aca="false">#REF!</f>
        <v>#REF!</v>
      </c>
      <c r="E7" s="7" t="e">
        <f aca="false">D7*C7</f>
        <v>#REF!</v>
      </c>
      <c r="F7" s="15"/>
      <c r="G7" s="15"/>
      <c r="H7" s="15"/>
    </row>
    <row r="8" customFormat="false" ht="15.75" hidden="false" customHeight="false" outlineLevel="0" collapsed="false">
      <c r="A8" s="22"/>
      <c r="B8" s="5" t="s">
        <v>89</v>
      </c>
      <c r="C8" s="6"/>
      <c r="D8" s="6"/>
      <c r="E8" s="7" t="n">
        <v>10</v>
      </c>
      <c r="F8" s="15"/>
      <c r="G8" s="15"/>
      <c r="H8" s="15"/>
    </row>
    <row r="9" customFormat="false" ht="15.75" hidden="false" customHeight="false" outlineLevel="0" collapsed="false">
      <c r="A9" s="22"/>
      <c r="B9" s="28"/>
      <c r="C9" s="6"/>
      <c r="D9" s="6"/>
      <c r="E9" s="7" t="n">
        <f aca="false">D9*C9</f>
        <v>0</v>
      </c>
      <c r="F9" s="15"/>
      <c r="G9" s="26"/>
      <c r="H9" s="9"/>
    </row>
    <row r="10" customFormat="false" ht="15.75" hidden="false" customHeight="true" outlineLevel="0" collapsed="false">
      <c r="A10" s="22" t="s">
        <v>203</v>
      </c>
      <c r="B10" s="5" t="s">
        <v>204</v>
      </c>
      <c r="C10" s="6" t="n">
        <v>0.03</v>
      </c>
      <c r="D10" s="6" t="e">
        <f aca="false">#REF!</f>
        <v>#REF!</v>
      </c>
      <c r="E10" s="7" t="e">
        <f aca="false">D10*C10</f>
        <v>#REF!</v>
      </c>
      <c r="F10" s="15" t="e">
        <f aca="false">SUM(E10:E17)</f>
        <v>#REF!</v>
      </c>
      <c r="G10" s="26" t="n">
        <v>1000</v>
      </c>
      <c r="H10" s="9" t="e">
        <f aca="false">(G10-F10)/F10*100</f>
        <v>#REF!</v>
      </c>
    </row>
    <row r="11" customFormat="false" ht="15.75" hidden="false" customHeight="false" outlineLevel="0" collapsed="false">
      <c r="A11" s="22"/>
      <c r="B11" s="5" t="s">
        <v>205</v>
      </c>
      <c r="C11" s="6" t="n">
        <v>0.03</v>
      </c>
      <c r="D11" s="6" t="e">
        <f aca="false">#REF!</f>
        <v>#REF!</v>
      </c>
      <c r="E11" s="7" t="e">
        <f aca="false">D11*C11</f>
        <v>#REF!</v>
      </c>
      <c r="F11" s="15"/>
      <c r="G11" s="15"/>
      <c r="H11" s="15"/>
    </row>
    <row r="12" customFormat="false" ht="15.75" hidden="false" customHeight="false" outlineLevel="0" collapsed="false">
      <c r="A12" s="22"/>
      <c r="B12" s="5" t="s">
        <v>206</v>
      </c>
      <c r="C12" s="6" t="n">
        <v>0.03</v>
      </c>
      <c r="D12" s="6" t="e">
        <f aca="false">#REF!</f>
        <v>#REF!</v>
      </c>
      <c r="E12" s="7" t="e">
        <f aca="false">D12*C12</f>
        <v>#REF!</v>
      </c>
      <c r="F12" s="15"/>
      <c r="G12" s="15"/>
      <c r="H12" s="15"/>
    </row>
    <row r="13" customFormat="false" ht="15.75" hidden="false" customHeight="false" outlineLevel="0" collapsed="false">
      <c r="A13" s="22"/>
      <c r="B13" s="5" t="s">
        <v>207</v>
      </c>
      <c r="C13" s="6" t="n">
        <v>0.02</v>
      </c>
      <c r="D13" s="6" t="e">
        <f aca="false">#REF!</f>
        <v>#REF!</v>
      </c>
      <c r="E13" s="7" t="e">
        <f aca="false">D13*C13</f>
        <v>#REF!</v>
      </c>
      <c r="F13" s="15"/>
      <c r="G13" s="15"/>
      <c r="H13" s="15"/>
    </row>
    <row r="14" customFormat="false" ht="15.75" hidden="false" customHeight="false" outlineLevel="0" collapsed="false">
      <c r="A14" s="22"/>
      <c r="B14" s="21" t="s">
        <v>60</v>
      </c>
      <c r="C14" s="6" t="n">
        <v>0.03</v>
      </c>
      <c r="D14" s="6" t="n">
        <v>260</v>
      </c>
      <c r="E14" s="7" t="n">
        <f aca="false">D14*C14</f>
        <v>7.8</v>
      </c>
      <c r="F14" s="15"/>
      <c r="G14" s="15"/>
      <c r="H14" s="15"/>
    </row>
    <row r="15" customFormat="false" ht="15.75" hidden="false" customHeight="false" outlineLevel="0" collapsed="false">
      <c r="A15" s="22"/>
      <c r="B15" s="21" t="s">
        <v>208</v>
      </c>
      <c r="C15" s="6" t="n">
        <v>0.05</v>
      </c>
      <c r="D15" s="6" t="e">
        <f aca="false">#REF!</f>
        <v>#REF!</v>
      </c>
      <c r="E15" s="7" t="e">
        <f aca="false">D15*C15</f>
        <v>#REF!</v>
      </c>
      <c r="F15" s="15"/>
      <c r="G15" s="15"/>
      <c r="H15" s="15"/>
    </row>
    <row r="16" customFormat="false" ht="15.75" hidden="false" customHeight="false" outlineLevel="0" collapsed="false">
      <c r="A16" s="22"/>
      <c r="B16" s="21" t="s">
        <v>209</v>
      </c>
      <c r="C16" s="6" t="n">
        <v>0.05</v>
      </c>
      <c r="D16" s="6" t="n">
        <f aca="false">39*2</f>
        <v>78</v>
      </c>
      <c r="E16" s="7" t="n">
        <f aca="false">D16*C16</f>
        <v>3.9</v>
      </c>
      <c r="F16" s="15"/>
      <c r="G16" s="15"/>
      <c r="H16" s="15"/>
    </row>
    <row r="17" customFormat="false" ht="15.75" hidden="false" customHeight="false" outlineLevel="0" collapsed="false">
      <c r="A17" s="22"/>
      <c r="B17" s="21" t="s">
        <v>89</v>
      </c>
      <c r="C17" s="6"/>
      <c r="D17" s="6"/>
      <c r="E17" s="7" t="n">
        <v>10</v>
      </c>
      <c r="F17" s="15"/>
      <c r="G17" s="26"/>
      <c r="H17" s="9"/>
    </row>
    <row r="18" customFormat="false" ht="15.75" hidden="false" customHeight="true" outlineLevel="0" collapsed="false">
      <c r="A18" s="22" t="s">
        <v>210</v>
      </c>
      <c r="B18" s="6" t="s">
        <v>66</v>
      </c>
      <c r="C18" s="6" t="n">
        <v>0.04</v>
      </c>
      <c r="D18" s="6" t="n">
        <v>260</v>
      </c>
      <c r="E18" s="7" t="n">
        <f aca="false">D18*C18</f>
        <v>10.4</v>
      </c>
      <c r="F18" s="15" t="n">
        <f aca="false">SUM(E18:E26)</f>
        <v>211.14</v>
      </c>
      <c r="G18" s="26" t="n">
        <v>1100</v>
      </c>
      <c r="H18" s="9" t="n">
        <f aca="false">(G18-F18)/F18*100</f>
        <v>420.981339395662</v>
      </c>
    </row>
    <row r="19" customFormat="false" ht="15.75" hidden="false" customHeight="false" outlineLevel="0" collapsed="false">
      <c r="A19" s="22"/>
      <c r="B19" s="21" t="s">
        <v>211</v>
      </c>
      <c r="C19" s="6" t="n">
        <v>0.1</v>
      </c>
      <c r="D19" s="6" t="n">
        <v>170</v>
      </c>
      <c r="E19" s="7" t="n">
        <f aca="false">D19*C19</f>
        <v>17</v>
      </c>
      <c r="F19" s="15"/>
      <c r="G19" s="15"/>
      <c r="H19" s="15"/>
    </row>
    <row r="20" customFormat="false" ht="15.75" hidden="false" customHeight="false" outlineLevel="0" collapsed="false">
      <c r="A20" s="22"/>
      <c r="B20" s="21" t="s">
        <v>212</v>
      </c>
      <c r="C20" s="6" t="n">
        <v>0.005</v>
      </c>
      <c r="D20" s="7" t="n">
        <v>994</v>
      </c>
      <c r="E20" s="7" t="n">
        <f aca="false">D20*C20</f>
        <v>4.97</v>
      </c>
      <c r="F20" s="15"/>
      <c r="G20" s="15"/>
      <c r="H20" s="15"/>
    </row>
    <row r="21" customFormat="false" ht="15.75" hidden="false" customHeight="false" outlineLevel="0" collapsed="false">
      <c r="A21" s="22"/>
      <c r="B21" s="21" t="s">
        <v>213</v>
      </c>
      <c r="C21" s="6" t="n">
        <v>0.003</v>
      </c>
      <c r="D21" s="7" t="n">
        <v>3700</v>
      </c>
      <c r="E21" s="7" t="n">
        <f aca="false">D21*C21</f>
        <v>11.1</v>
      </c>
      <c r="F21" s="15"/>
      <c r="G21" s="15"/>
      <c r="H21" s="15"/>
    </row>
    <row r="22" customFormat="false" ht="15.75" hidden="false" customHeight="false" outlineLevel="0" collapsed="false">
      <c r="A22" s="22"/>
      <c r="B22" s="21" t="s">
        <v>214</v>
      </c>
      <c r="C22" s="6" t="n">
        <v>0.001</v>
      </c>
      <c r="D22" s="7" t="n">
        <v>70</v>
      </c>
      <c r="E22" s="7" t="n">
        <f aca="false">D22*C22</f>
        <v>0.07</v>
      </c>
      <c r="F22" s="15"/>
      <c r="G22" s="15"/>
      <c r="H22" s="15"/>
    </row>
    <row r="23" customFormat="false" ht="15.75" hidden="false" customHeight="false" outlineLevel="0" collapsed="false">
      <c r="A23" s="22"/>
      <c r="B23" s="21" t="s">
        <v>215</v>
      </c>
      <c r="C23" s="6" t="n">
        <v>0.001</v>
      </c>
      <c r="D23" s="7" t="n">
        <v>5000</v>
      </c>
      <c r="E23" s="7" t="n">
        <f aca="false">D23*C23</f>
        <v>5</v>
      </c>
      <c r="F23" s="15"/>
      <c r="G23" s="15"/>
      <c r="H23" s="15"/>
    </row>
    <row r="24" customFormat="false" ht="15.75" hidden="false" customHeight="false" outlineLevel="0" collapsed="false">
      <c r="A24" s="22"/>
      <c r="B24" s="21" t="s">
        <v>216</v>
      </c>
      <c r="C24" s="6" t="n">
        <v>1</v>
      </c>
      <c r="D24" s="6" t="n">
        <v>150</v>
      </c>
      <c r="E24" s="7" t="n">
        <f aca="false">D24*C24</f>
        <v>150</v>
      </c>
      <c r="F24" s="15"/>
      <c r="G24" s="15"/>
      <c r="H24" s="15"/>
    </row>
    <row r="25" customFormat="false" ht="15.75" hidden="false" customHeight="false" outlineLevel="0" collapsed="false">
      <c r="A25" s="22"/>
      <c r="B25" s="21" t="s">
        <v>217</v>
      </c>
      <c r="C25" s="6" t="n">
        <v>0.02</v>
      </c>
      <c r="D25" s="6" t="n">
        <v>500</v>
      </c>
      <c r="E25" s="7" t="n">
        <f aca="false">D25*C25</f>
        <v>10</v>
      </c>
      <c r="F25" s="15"/>
      <c r="G25" s="15"/>
      <c r="H25" s="15"/>
    </row>
    <row r="26" customFormat="false" ht="15.75" hidden="false" customHeight="false" outlineLevel="0" collapsed="false">
      <c r="A26" s="22"/>
      <c r="B26" s="21" t="s">
        <v>218</v>
      </c>
      <c r="C26" s="6" t="n">
        <v>0.01</v>
      </c>
      <c r="D26" s="6" t="n">
        <v>260</v>
      </c>
      <c r="E26" s="7" t="n">
        <f aca="false">D26*C26</f>
        <v>2.6</v>
      </c>
      <c r="F26" s="15"/>
      <c r="G26" s="26"/>
      <c r="H26" s="9"/>
    </row>
    <row r="27" customFormat="false" ht="15.75" hidden="false" customHeight="true" outlineLevel="0" collapsed="false">
      <c r="A27" s="22" t="s">
        <v>219</v>
      </c>
      <c r="B27" s="6" t="s">
        <v>220</v>
      </c>
      <c r="C27" s="6" t="n">
        <v>0.06</v>
      </c>
      <c r="D27" s="6" t="e">
        <f aca="false">#REF!</f>
        <v>#REF!</v>
      </c>
      <c r="E27" s="7" t="e">
        <f aca="false">D27*C27</f>
        <v>#REF!</v>
      </c>
      <c r="F27" s="15" t="e">
        <f aca="false">SUM(E27:E34)</f>
        <v>#REF!</v>
      </c>
      <c r="G27" s="26" t="n">
        <v>1200</v>
      </c>
      <c r="H27" s="9" t="e">
        <f aca="false">(G27-F27)/F27*100</f>
        <v>#REF!</v>
      </c>
    </row>
    <row r="28" customFormat="false" ht="15.75" hidden="false" customHeight="false" outlineLevel="0" collapsed="false">
      <c r="A28" s="22"/>
      <c r="B28" s="21" t="s">
        <v>53</v>
      </c>
      <c r="C28" s="6" t="n">
        <v>0.08</v>
      </c>
      <c r="D28" s="6" t="n">
        <v>260</v>
      </c>
      <c r="E28" s="7" t="n">
        <f aca="false">D28*C28</f>
        <v>20.8</v>
      </c>
      <c r="F28" s="15"/>
      <c r="G28" s="15"/>
      <c r="H28" s="15"/>
    </row>
    <row r="29" customFormat="false" ht="15.75" hidden="false" customHeight="false" outlineLevel="0" collapsed="false">
      <c r="A29" s="22"/>
      <c r="B29" s="21" t="s">
        <v>221</v>
      </c>
      <c r="C29" s="6" t="n">
        <v>0.06</v>
      </c>
      <c r="D29" s="6" t="e">
        <f aca="false">#REF!</f>
        <v>#REF!</v>
      </c>
      <c r="E29" s="7" t="e">
        <f aca="false">D29*C29</f>
        <v>#REF!</v>
      </c>
      <c r="F29" s="15"/>
      <c r="G29" s="15"/>
      <c r="H29" s="15"/>
    </row>
    <row r="30" customFormat="false" ht="15.75" hidden="false" customHeight="false" outlineLevel="0" collapsed="false">
      <c r="A30" s="22"/>
      <c r="B30" s="28"/>
      <c r="C30" s="6"/>
      <c r="D30" s="6"/>
      <c r="E30" s="7" t="n">
        <f aca="false">D30*C30</f>
        <v>0</v>
      </c>
      <c r="F30" s="15"/>
      <c r="G30" s="15"/>
      <c r="H30" s="15"/>
    </row>
    <row r="31" customFormat="false" ht="15.75" hidden="false" customHeight="false" outlineLevel="0" collapsed="false">
      <c r="A31" s="22"/>
      <c r="B31" s="28"/>
      <c r="C31" s="6"/>
      <c r="D31" s="6"/>
      <c r="E31" s="7" t="n">
        <f aca="false">D31*C31</f>
        <v>0</v>
      </c>
      <c r="F31" s="15"/>
      <c r="G31" s="15"/>
      <c r="H31" s="15"/>
    </row>
    <row r="32" customFormat="false" ht="15.75" hidden="false" customHeight="false" outlineLevel="0" collapsed="false">
      <c r="A32" s="22"/>
      <c r="B32" s="28"/>
      <c r="C32" s="6"/>
      <c r="D32" s="6"/>
      <c r="E32" s="7" t="n">
        <f aca="false">D32*C32</f>
        <v>0</v>
      </c>
      <c r="F32" s="15"/>
      <c r="G32" s="15"/>
      <c r="H32" s="15"/>
    </row>
    <row r="33" customFormat="false" ht="15.75" hidden="false" customHeight="false" outlineLevel="0" collapsed="false">
      <c r="A33" s="22"/>
      <c r="B33" s="28"/>
      <c r="C33" s="6"/>
      <c r="D33" s="6"/>
      <c r="E33" s="7" t="n">
        <f aca="false">D33*C33</f>
        <v>0</v>
      </c>
      <c r="F33" s="15"/>
      <c r="G33" s="15"/>
      <c r="H33" s="15"/>
    </row>
    <row r="34" customFormat="false" ht="15.75" hidden="false" customHeight="false" outlineLevel="0" collapsed="false">
      <c r="A34" s="22"/>
      <c r="B34" s="28"/>
      <c r="C34" s="6"/>
      <c r="D34" s="6"/>
      <c r="E34" s="7" t="n">
        <f aca="false">D34*C34</f>
        <v>0</v>
      </c>
      <c r="F34" s="15"/>
      <c r="G34" s="26"/>
      <c r="H34" s="9"/>
    </row>
    <row r="35" customFormat="false" ht="15.75" hidden="false" customHeight="false" outlineLevel="0" collapsed="false">
      <c r="A35" s="12"/>
      <c r="B35" s="11"/>
      <c r="C35" s="12"/>
      <c r="D35" s="12"/>
      <c r="E35" s="32"/>
      <c r="F35" s="12"/>
      <c r="G35" s="12"/>
      <c r="H35" s="12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5.75" hidden="false" customHeight="false" outlineLevel="0" collapsed="false">
      <c r="A36" s="33"/>
      <c r="B36" s="11"/>
      <c r="C36" s="12"/>
      <c r="D36" s="12"/>
      <c r="E36" s="32"/>
      <c r="F36" s="33"/>
      <c r="G36" s="33"/>
      <c r="H36" s="3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5.75" hidden="false" customHeight="false" outlineLevel="0" collapsed="false">
      <c r="A37" s="33"/>
      <c r="B37" s="11"/>
      <c r="C37" s="12"/>
      <c r="D37" s="12"/>
      <c r="E37" s="32"/>
      <c r="F37" s="33"/>
      <c r="G37" s="33"/>
      <c r="H37" s="3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5.75" hidden="false" customHeight="false" outlineLevel="0" collapsed="false">
      <c r="A38" s="33"/>
      <c r="B38" s="11"/>
      <c r="C38" s="12"/>
      <c r="D38" s="12"/>
      <c r="E38" s="32"/>
      <c r="F38" s="33"/>
      <c r="G38" s="33"/>
      <c r="H38" s="3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5.75" hidden="false" customHeight="false" outlineLevel="0" collapsed="false">
      <c r="A39" s="33"/>
      <c r="B39" s="11"/>
      <c r="C39" s="12"/>
      <c r="D39" s="12"/>
      <c r="E39" s="32"/>
      <c r="F39" s="33"/>
      <c r="G39" s="33"/>
      <c r="H39" s="3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5.75" hidden="false" customHeight="false" outlineLevel="0" collapsed="false">
      <c r="A40" s="33"/>
      <c r="B40" s="11"/>
      <c r="C40" s="12"/>
      <c r="D40" s="12"/>
      <c r="E40" s="32"/>
      <c r="F40" s="33"/>
      <c r="G40" s="33"/>
      <c r="H40" s="3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5.75" hidden="false" customHeight="false" outlineLevel="0" collapsed="false">
      <c r="A41" s="33"/>
      <c r="B41" s="11"/>
      <c r="C41" s="12"/>
      <c r="D41" s="12"/>
      <c r="E41" s="32"/>
      <c r="F41" s="33"/>
      <c r="G41" s="33"/>
      <c r="H41" s="3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5.75" hidden="false" customHeight="false" outlineLevel="0" collapsed="false">
      <c r="A42" s="33"/>
      <c r="B42" s="11"/>
      <c r="C42" s="12"/>
      <c r="D42" s="12"/>
      <c r="E42" s="32"/>
      <c r="F42" s="33"/>
      <c r="G42" s="33"/>
      <c r="H42" s="3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5.75" hidden="false" customHeight="false" outlineLevel="0" collapsed="false">
      <c r="A43" s="33"/>
      <c r="B43" s="11"/>
      <c r="C43" s="12"/>
      <c r="D43" s="12"/>
      <c r="E43" s="32"/>
      <c r="F43" s="33"/>
      <c r="G43" s="33"/>
      <c r="H43" s="3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5.75" hidden="false" customHeight="false" outlineLevel="0" collapsed="false">
      <c r="A44" s="33"/>
      <c r="B44" s="11"/>
      <c r="C44" s="12"/>
      <c r="D44" s="12"/>
      <c r="E44" s="32"/>
      <c r="F44" s="33"/>
      <c r="G44" s="33"/>
      <c r="H44" s="3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5.75" hidden="false" customHeight="false" outlineLevel="0" collapsed="false">
      <c r="A45" s="33"/>
      <c r="B45" s="11"/>
      <c r="C45" s="12"/>
      <c r="D45" s="12"/>
      <c r="E45" s="32"/>
      <c r="F45" s="33"/>
      <c r="G45" s="33"/>
      <c r="H45" s="3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5.75" hidden="false" customHeight="false" outlineLevel="0" collapsed="false">
      <c r="A46" s="33"/>
      <c r="B46" s="11"/>
      <c r="C46" s="12"/>
      <c r="D46" s="12"/>
      <c r="E46" s="32"/>
      <c r="F46" s="33"/>
      <c r="G46" s="33"/>
      <c r="H46" s="3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5.75" hidden="false" customHeight="false" outlineLevel="0" collapsed="false">
      <c r="A47" s="33"/>
      <c r="B47" s="11"/>
      <c r="C47" s="12"/>
      <c r="D47" s="12"/>
      <c r="E47" s="32"/>
      <c r="F47" s="33"/>
      <c r="G47" s="33"/>
      <c r="H47" s="3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5.75" hidden="false" customHeight="false" outlineLevel="0" collapsed="false">
      <c r="A48" s="33"/>
      <c r="B48" s="11"/>
      <c r="C48" s="12"/>
      <c r="D48" s="12"/>
      <c r="E48" s="32"/>
      <c r="F48" s="33"/>
      <c r="G48" s="33"/>
      <c r="H48" s="3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5.75" hidden="false" customHeight="false" outlineLevel="0" collapsed="false">
      <c r="A49" s="33"/>
      <c r="B49" s="11"/>
      <c r="C49" s="12"/>
      <c r="D49" s="12"/>
      <c r="E49" s="32"/>
      <c r="F49" s="33"/>
      <c r="G49" s="33"/>
      <c r="H49" s="3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5.75" hidden="false" customHeight="false" outlineLevel="0" collapsed="false">
      <c r="A50" s="33"/>
      <c r="B50" s="11"/>
      <c r="C50" s="12"/>
      <c r="D50" s="12"/>
      <c r="E50" s="32"/>
      <c r="F50" s="33"/>
      <c r="G50" s="33"/>
      <c r="H50" s="3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5.75" hidden="false" customHeight="false" outlineLevel="0" collapsed="false">
      <c r="A51" s="33"/>
      <c r="B51" s="11"/>
      <c r="C51" s="12"/>
      <c r="D51" s="12"/>
      <c r="E51" s="32"/>
      <c r="F51" s="33"/>
      <c r="G51" s="33"/>
      <c r="H51" s="3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5.75" hidden="false" customHeight="false" outlineLevel="0" collapsed="false">
      <c r="A52" s="33"/>
      <c r="B52" s="11"/>
      <c r="C52" s="12"/>
      <c r="D52" s="12"/>
      <c r="E52" s="32"/>
      <c r="F52" s="33"/>
      <c r="G52" s="33"/>
      <c r="H52" s="3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5.75" hidden="false" customHeight="false" outlineLevel="0" collapsed="false">
      <c r="A53" s="33"/>
      <c r="B53" s="11"/>
      <c r="C53" s="12"/>
      <c r="D53" s="12"/>
      <c r="E53" s="32"/>
      <c r="F53" s="33"/>
      <c r="G53" s="33"/>
      <c r="H53" s="3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5.75" hidden="false" customHeight="false" outlineLevel="0" collapsed="false">
      <c r="A54" s="33"/>
      <c r="B54" s="11"/>
      <c r="C54" s="12"/>
      <c r="D54" s="12"/>
      <c r="E54" s="32"/>
      <c r="F54" s="33"/>
      <c r="G54" s="33"/>
      <c r="H54" s="3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5.75" hidden="false" customHeight="false" outlineLevel="0" collapsed="false">
      <c r="A55" s="33"/>
      <c r="B55" s="11"/>
      <c r="C55" s="12"/>
      <c r="D55" s="12"/>
      <c r="E55" s="32"/>
      <c r="F55" s="33"/>
      <c r="G55" s="33"/>
      <c r="H55" s="3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5.75" hidden="false" customHeight="false" outlineLevel="0" collapsed="false">
      <c r="A56" s="33"/>
      <c r="B56" s="11"/>
      <c r="C56" s="12"/>
      <c r="D56" s="12"/>
      <c r="E56" s="32"/>
      <c r="F56" s="33"/>
      <c r="G56" s="33"/>
      <c r="H56" s="3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5.75" hidden="false" customHeight="false" outlineLevel="0" collapsed="false">
      <c r="A57" s="33"/>
      <c r="B57" s="11"/>
      <c r="C57" s="12"/>
      <c r="D57" s="12"/>
      <c r="E57" s="32"/>
      <c r="F57" s="33"/>
      <c r="G57" s="33"/>
      <c r="H57" s="3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5.75" hidden="false" customHeight="false" outlineLevel="0" collapsed="false">
      <c r="A58" s="33"/>
      <c r="B58" s="11"/>
      <c r="C58" s="12"/>
      <c r="D58" s="12"/>
      <c r="E58" s="32"/>
      <c r="F58" s="33"/>
      <c r="G58" s="33"/>
      <c r="H58" s="3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5.75" hidden="false" customHeight="false" outlineLevel="0" collapsed="false">
      <c r="A59" s="33"/>
      <c r="B59" s="11"/>
      <c r="C59" s="12"/>
      <c r="D59" s="12"/>
      <c r="E59" s="32"/>
      <c r="F59" s="33"/>
      <c r="G59" s="33"/>
      <c r="H59" s="3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5.75" hidden="false" customHeight="false" outlineLevel="0" collapsed="false">
      <c r="A60" s="10"/>
      <c r="B60" s="11"/>
      <c r="C60" s="12"/>
      <c r="D60" s="12"/>
      <c r="E60" s="12"/>
      <c r="F60" s="12"/>
      <c r="G60" s="12"/>
      <c r="H60" s="12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5.75" hidden="false" customHeight="false" outlineLevel="0" collapsed="false">
      <c r="A61" s="10"/>
      <c r="B61" s="11"/>
      <c r="C61" s="12"/>
      <c r="D61" s="12"/>
      <c r="E61" s="12"/>
      <c r="F61" s="12"/>
      <c r="G61" s="12"/>
      <c r="H61" s="12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5.75" hidden="false" customHeight="false" outlineLevel="0" collapsed="false">
      <c r="A62" s="10"/>
      <c r="B62" s="11"/>
      <c r="C62" s="12"/>
      <c r="D62" s="12"/>
      <c r="E62" s="12"/>
      <c r="F62" s="12"/>
      <c r="G62" s="12"/>
      <c r="H62" s="12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.75" hidden="false" customHeight="false" outlineLevel="0" collapsed="false">
      <c r="A63" s="10"/>
      <c r="B63" s="11"/>
      <c r="C63" s="12"/>
      <c r="D63" s="12"/>
      <c r="E63" s="12"/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12"/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12"/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12"/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12"/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12"/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12"/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12"/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12"/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12"/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12"/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12"/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12"/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A97" s="10"/>
      <c r="B97" s="11"/>
      <c r="C97" s="12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false" outlineLevel="0" collapsed="false">
      <c r="A98" s="10"/>
      <c r="B98" s="11"/>
      <c r="C98" s="12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false" outlineLevel="0" collapsed="false">
      <c r="A99" s="10"/>
      <c r="B99" s="11"/>
      <c r="C99" s="12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false" outlineLevel="0" collapsed="false">
      <c r="A100" s="10"/>
      <c r="B100" s="11"/>
      <c r="C100" s="12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B991" s="13"/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B992" s="13"/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B993" s="13"/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B994" s="13"/>
    </row>
  </sheetData>
  <mergeCells count="32">
    <mergeCell ref="A2:A9"/>
    <mergeCell ref="F2:F9"/>
    <mergeCell ref="G2:G9"/>
    <mergeCell ref="H2:H9"/>
    <mergeCell ref="A10:A17"/>
    <mergeCell ref="F10:F17"/>
    <mergeCell ref="G10:G17"/>
    <mergeCell ref="H10:H17"/>
    <mergeCell ref="A18:A26"/>
    <mergeCell ref="F18:F26"/>
    <mergeCell ref="G18:G26"/>
    <mergeCell ref="H18:H26"/>
    <mergeCell ref="A27:A34"/>
    <mergeCell ref="F27:F34"/>
    <mergeCell ref="G27:G34"/>
    <mergeCell ref="H27:H34"/>
    <mergeCell ref="A36:A41"/>
    <mergeCell ref="F36:F41"/>
    <mergeCell ref="G36:G41"/>
    <mergeCell ref="H36:H41"/>
    <mergeCell ref="A42:A47"/>
    <mergeCell ref="F42:F47"/>
    <mergeCell ref="G42:G47"/>
    <mergeCell ref="H42:H47"/>
    <mergeCell ref="A48:A53"/>
    <mergeCell ref="F48:F53"/>
    <mergeCell ref="G48:G53"/>
    <mergeCell ref="H48:H53"/>
    <mergeCell ref="A54:A59"/>
    <mergeCell ref="F54:F59"/>
    <mergeCell ref="G54:G59"/>
    <mergeCell ref="H54:H5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true" outlineLevel="0" collapsed="false">
      <c r="A2" s="22" t="s">
        <v>222</v>
      </c>
      <c r="B2" s="6" t="s">
        <v>223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15" t="e">
        <f aca="false">SUM(E2:E9)</f>
        <v>#REF!</v>
      </c>
      <c r="G2" s="26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22"/>
      <c r="B3" s="21" t="s">
        <v>224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15"/>
      <c r="G3" s="15"/>
      <c r="H3" s="15"/>
    </row>
    <row r="4" customFormat="false" ht="15.75" hidden="false" customHeight="false" outlineLevel="0" collapsed="false">
      <c r="A4" s="22"/>
      <c r="B4" s="21" t="s">
        <v>225</v>
      </c>
      <c r="C4" s="6" t="n">
        <v>0.15</v>
      </c>
      <c r="D4" s="6" t="e">
        <f aca="false">#REF!</f>
        <v>#REF!</v>
      </c>
      <c r="E4" s="7" t="e">
        <f aca="false">D4*C4</f>
        <v>#REF!</v>
      </c>
      <c r="F4" s="15"/>
      <c r="G4" s="15"/>
      <c r="H4" s="15"/>
    </row>
    <row r="5" customFormat="false" ht="15.75" hidden="false" customHeight="false" outlineLevel="0" collapsed="false">
      <c r="A5" s="22"/>
      <c r="B5" s="21" t="s">
        <v>226</v>
      </c>
      <c r="C5" s="6" t="n">
        <v>0.03</v>
      </c>
      <c r="D5" s="6" t="n">
        <v>270</v>
      </c>
      <c r="E5" s="7" t="n">
        <f aca="false">D5*C5</f>
        <v>8.1</v>
      </c>
      <c r="F5" s="15"/>
      <c r="G5" s="15"/>
      <c r="H5" s="15"/>
    </row>
    <row r="6" customFormat="false" ht="15.75" hidden="false" customHeight="false" outlineLevel="0" collapsed="false">
      <c r="A6" s="22"/>
      <c r="B6" s="5"/>
      <c r="C6" s="6"/>
      <c r="D6" s="6"/>
      <c r="E6" s="7" t="n">
        <f aca="false">D6*C6</f>
        <v>0</v>
      </c>
      <c r="F6" s="15"/>
      <c r="G6" s="15"/>
      <c r="H6" s="15"/>
    </row>
    <row r="7" customFormat="false" ht="15.75" hidden="false" customHeight="false" outlineLevel="0" collapsed="false">
      <c r="A7" s="22"/>
      <c r="B7" s="5"/>
      <c r="C7" s="6"/>
      <c r="D7" s="6"/>
      <c r="E7" s="7" t="n">
        <f aca="false">D7*C7</f>
        <v>0</v>
      </c>
      <c r="F7" s="15"/>
      <c r="G7" s="15"/>
      <c r="H7" s="15"/>
    </row>
    <row r="8" customFormat="false" ht="15.75" hidden="false" customHeight="false" outlineLevel="0" collapsed="false">
      <c r="A8" s="22"/>
      <c r="B8" s="5"/>
      <c r="C8" s="6"/>
      <c r="D8" s="6"/>
      <c r="E8" s="7" t="n">
        <v>10</v>
      </c>
      <c r="F8" s="15"/>
      <c r="G8" s="15"/>
      <c r="H8" s="15"/>
    </row>
    <row r="9" customFormat="false" ht="15.75" hidden="false" customHeight="false" outlineLevel="0" collapsed="false">
      <c r="A9" s="22"/>
      <c r="B9" s="28"/>
      <c r="C9" s="6"/>
      <c r="D9" s="6"/>
      <c r="E9" s="7" t="n">
        <f aca="false">D9*C9</f>
        <v>0</v>
      </c>
      <c r="F9" s="15"/>
      <c r="G9" s="26"/>
      <c r="H9" s="9"/>
    </row>
    <row r="10" customFormat="false" ht="15.75" hidden="false" customHeight="true" outlineLevel="0" collapsed="false">
      <c r="A10" s="22" t="s">
        <v>227</v>
      </c>
      <c r="B10" s="6" t="s">
        <v>32</v>
      </c>
      <c r="C10" s="6" t="n">
        <v>0.04</v>
      </c>
      <c r="D10" s="6" t="e">
        <f aca="false">#REF!</f>
        <v>#REF!</v>
      </c>
      <c r="E10" s="7" t="e">
        <f aca="false">D10*C10</f>
        <v>#REF!</v>
      </c>
      <c r="F10" s="15" t="e">
        <f aca="false">SUM(E10:E17)</f>
        <v>#REF!</v>
      </c>
      <c r="G10" s="26" t="n">
        <v>750</v>
      </c>
      <c r="H10" s="9" t="e">
        <f aca="false">(G10-F10)/F10*100</f>
        <v>#REF!</v>
      </c>
    </row>
    <row r="11" customFormat="false" ht="15.75" hidden="false" customHeight="false" outlineLevel="0" collapsed="false">
      <c r="A11" s="22"/>
      <c r="B11" s="21" t="s">
        <v>39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15"/>
      <c r="G11" s="15"/>
      <c r="H11" s="15"/>
    </row>
    <row r="12" customFormat="false" ht="15.75" hidden="false" customHeight="false" outlineLevel="0" collapsed="false">
      <c r="A12" s="22"/>
      <c r="B12" s="21" t="s">
        <v>91</v>
      </c>
      <c r="C12" s="6" t="n">
        <v>0.02</v>
      </c>
      <c r="D12" s="6" t="e">
        <f aca="false">#REF!</f>
        <v>#REF!</v>
      </c>
      <c r="E12" s="7" t="e">
        <f aca="false">D12*C12</f>
        <v>#REF!</v>
      </c>
      <c r="F12" s="15"/>
      <c r="G12" s="15"/>
      <c r="H12" s="15"/>
    </row>
    <row r="13" customFormat="false" ht="15.75" hidden="false" customHeight="false" outlineLevel="0" collapsed="false">
      <c r="A13" s="22"/>
      <c r="B13" s="21" t="s">
        <v>66</v>
      </c>
      <c r="C13" s="6" t="n">
        <v>0.04</v>
      </c>
      <c r="D13" s="6" t="n">
        <v>270</v>
      </c>
      <c r="E13" s="7" t="n">
        <f aca="false">D13*C13</f>
        <v>10.8</v>
      </c>
      <c r="F13" s="15"/>
      <c r="G13" s="15"/>
      <c r="H13" s="15"/>
    </row>
    <row r="14" customFormat="false" ht="15.75" hidden="false" customHeight="false" outlineLevel="0" collapsed="false">
      <c r="A14" s="22"/>
      <c r="B14" s="21" t="s">
        <v>92</v>
      </c>
      <c r="C14" s="6" t="n">
        <v>0.02</v>
      </c>
      <c r="D14" s="6" t="n">
        <v>480</v>
      </c>
      <c r="E14" s="7" t="n">
        <f aca="false">D14*C14</f>
        <v>9.6</v>
      </c>
      <c r="F14" s="15"/>
      <c r="G14" s="15"/>
      <c r="H14" s="15"/>
    </row>
    <row r="15" customFormat="false" ht="15.75" hidden="false" customHeight="false" outlineLevel="0" collapsed="false">
      <c r="A15" s="22"/>
      <c r="B15" s="5" t="s">
        <v>228</v>
      </c>
      <c r="C15" s="6"/>
      <c r="D15" s="6"/>
      <c r="E15" s="7" t="n">
        <v>10</v>
      </c>
      <c r="F15" s="15"/>
      <c r="G15" s="15"/>
      <c r="H15" s="15"/>
    </row>
    <row r="16" customFormat="false" ht="15.75" hidden="false" customHeight="false" outlineLevel="0" collapsed="false">
      <c r="A16" s="22"/>
      <c r="B16" s="21"/>
      <c r="C16" s="6"/>
      <c r="D16" s="6"/>
      <c r="E16" s="7" t="n">
        <f aca="false">D16*C16</f>
        <v>0</v>
      </c>
      <c r="F16" s="15"/>
      <c r="G16" s="15"/>
      <c r="H16" s="15"/>
    </row>
    <row r="17" customFormat="false" ht="15.75" hidden="false" customHeight="false" outlineLevel="0" collapsed="false">
      <c r="A17" s="22"/>
      <c r="B17" s="21"/>
      <c r="C17" s="6"/>
      <c r="D17" s="6"/>
      <c r="E17" s="7" t="n">
        <v>10</v>
      </c>
      <c r="F17" s="15"/>
      <c r="G17" s="26"/>
      <c r="H17" s="9"/>
    </row>
    <row r="18" customFormat="false" ht="15.75" hidden="false" customHeight="true" outlineLevel="0" collapsed="false">
      <c r="A18" s="22" t="s">
        <v>229</v>
      </c>
      <c r="B18" s="5" t="s">
        <v>230</v>
      </c>
      <c r="C18" s="6" t="n">
        <v>0.015</v>
      </c>
      <c r="D18" s="6" t="e">
        <f aca="false">#REF!</f>
        <v>#REF!</v>
      </c>
      <c r="E18" s="7" t="e">
        <f aca="false">D18*C18</f>
        <v>#REF!</v>
      </c>
      <c r="F18" s="15" t="e">
        <f aca="false">SUM(E18:E26)</f>
        <v>#REF!</v>
      </c>
      <c r="G18" s="26" t="n">
        <v>750</v>
      </c>
      <c r="H18" s="9" t="e">
        <f aca="false">(G18-F18)/F18*100</f>
        <v>#REF!</v>
      </c>
    </row>
    <row r="19" customFormat="false" ht="15.75" hidden="false" customHeight="false" outlineLevel="0" collapsed="false">
      <c r="A19" s="22"/>
      <c r="B19" s="5" t="s">
        <v>231</v>
      </c>
      <c r="C19" s="6" t="n">
        <v>0.015</v>
      </c>
      <c r="D19" s="6" t="e">
        <f aca="false">#REF!</f>
        <v>#REF!</v>
      </c>
      <c r="E19" s="7" t="e">
        <f aca="false">D19*C19</f>
        <v>#REF!</v>
      </c>
      <c r="F19" s="15"/>
      <c r="G19" s="15"/>
      <c r="H19" s="15"/>
    </row>
    <row r="20" customFormat="false" ht="15.75" hidden="false" customHeight="false" outlineLevel="0" collapsed="false">
      <c r="A20" s="22"/>
      <c r="B20" s="5" t="s">
        <v>94</v>
      </c>
      <c r="C20" s="6" t="n">
        <v>0.03</v>
      </c>
      <c r="D20" s="7" t="e">
        <f aca="false">#REF!</f>
        <v>#REF!</v>
      </c>
      <c r="E20" s="7" t="e">
        <f aca="false">D20*C20</f>
        <v>#REF!</v>
      </c>
      <c r="F20" s="15"/>
      <c r="G20" s="15"/>
      <c r="H20" s="15"/>
    </row>
    <row r="21" customFormat="false" ht="15.75" hidden="false" customHeight="false" outlineLevel="0" collapsed="false">
      <c r="A21" s="22"/>
      <c r="B21" s="5" t="s">
        <v>232</v>
      </c>
      <c r="C21" s="6" t="n">
        <v>0.015</v>
      </c>
      <c r="D21" s="7" t="n">
        <v>480</v>
      </c>
      <c r="E21" s="7" t="n">
        <f aca="false">D21*C21</f>
        <v>7.2</v>
      </c>
      <c r="F21" s="15"/>
      <c r="G21" s="15"/>
      <c r="H21" s="15"/>
    </row>
    <row r="22" customFormat="false" ht="15.75" hidden="false" customHeight="false" outlineLevel="0" collapsed="false">
      <c r="A22" s="22"/>
      <c r="B22" s="5" t="s">
        <v>66</v>
      </c>
      <c r="C22" s="6" t="n">
        <v>0.04</v>
      </c>
      <c r="D22" s="7" t="n">
        <v>270</v>
      </c>
      <c r="E22" s="7" t="n">
        <f aca="false">D22*C22</f>
        <v>10.8</v>
      </c>
      <c r="F22" s="15"/>
      <c r="G22" s="15"/>
      <c r="H22" s="15"/>
    </row>
    <row r="23" customFormat="false" ht="15.75" hidden="false" customHeight="false" outlineLevel="0" collapsed="false">
      <c r="A23" s="22"/>
      <c r="B23" s="5" t="s">
        <v>233</v>
      </c>
      <c r="C23" s="6" t="n">
        <v>0.06</v>
      </c>
      <c r="D23" s="7" t="n">
        <v>170</v>
      </c>
      <c r="E23" s="7" t="n">
        <f aca="false">D23*C23</f>
        <v>10.2</v>
      </c>
      <c r="F23" s="15"/>
      <c r="G23" s="15"/>
      <c r="H23" s="15"/>
    </row>
    <row r="24" customFormat="false" ht="15.75" hidden="false" customHeight="false" outlineLevel="0" collapsed="false">
      <c r="A24" s="22"/>
      <c r="B24" s="21" t="s">
        <v>62</v>
      </c>
      <c r="C24" s="6" t="n">
        <v>0.015</v>
      </c>
      <c r="D24" s="6" t="n">
        <v>270</v>
      </c>
      <c r="E24" s="7" t="n">
        <f aca="false">D24*C24</f>
        <v>4.05</v>
      </c>
      <c r="F24" s="15"/>
      <c r="G24" s="15"/>
      <c r="H24" s="15"/>
    </row>
    <row r="25" customFormat="false" ht="15.75" hidden="false" customHeight="false" outlineLevel="0" collapsed="false">
      <c r="A25" s="22"/>
      <c r="B25" s="21" t="s">
        <v>228</v>
      </c>
      <c r="C25" s="6"/>
      <c r="D25" s="6"/>
      <c r="E25" s="7" t="n">
        <v>10</v>
      </c>
      <c r="F25" s="15"/>
      <c r="G25" s="15"/>
      <c r="H25" s="15"/>
    </row>
    <row r="26" customFormat="false" ht="15.75" hidden="false" customHeight="false" outlineLevel="0" collapsed="false">
      <c r="A26" s="22"/>
      <c r="B26" s="21"/>
      <c r="C26" s="6"/>
      <c r="D26" s="6"/>
      <c r="E26" s="7" t="n">
        <f aca="false">D26*C26</f>
        <v>0</v>
      </c>
      <c r="F26" s="15"/>
      <c r="G26" s="26"/>
      <c r="H26" s="9"/>
    </row>
    <row r="27" customFormat="false" ht="15.75" hidden="false" customHeight="true" outlineLevel="0" collapsed="false">
      <c r="A27" s="22" t="s">
        <v>234</v>
      </c>
      <c r="B27" s="6" t="s">
        <v>198</v>
      </c>
      <c r="C27" s="6" t="n">
        <v>0.04</v>
      </c>
      <c r="D27" s="6" t="e">
        <f aca="false">#REF!</f>
        <v>#REF!</v>
      </c>
      <c r="E27" s="7" t="e">
        <f aca="false">D27*C27</f>
        <v>#REF!</v>
      </c>
      <c r="F27" s="15" t="e">
        <f aca="false">SUM(E27:E34)</f>
        <v>#REF!</v>
      </c>
      <c r="G27" s="26" t="n">
        <v>1200</v>
      </c>
      <c r="H27" s="9" t="e">
        <f aca="false">(G27-F27)/F27*100</f>
        <v>#REF!</v>
      </c>
    </row>
    <row r="28" customFormat="false" ht="15.75" hidden="false" customHeight="false" outlineLevel="0" collapsed="false">
      <c r="A28" s="22"/>
      <c r="B28" s="5" t="s">
        <v>235</v>
      </c>
      <c r="C28" s="6" t="n">
        <v>0.04</v>
      </c>
      <c r="D28" s="6" t="e">
        <f aca="false">#REF!</f>
        <v>#REF!</v>
      </c>
      <c r="E28" s="7" t="e">
        <f aca="false">D28*C28</f>
        <v>#REF!</v>
      </c>
      <c r="F28" s="15"/>
      <c r="G28" s="15"/>
      <c r="H28" s="15"/>
    </row>
    <row r="29" customFormat="false" ht="15.75" hidden="false" customHeight="false" outlineLevel="0" collapsed="false">
      <c r="A29" s="22"/>
      <c r="B29" s="5" t="s">
        <v>53</v>
      </c>
      <c r="C29" s="6" t="n">
        <v>0.08</v>
      </c>
      <c r="D29" s="6" t="n">
        <v>270</v>
      </c>
      <c r="E29" s="7" t="n">
        <f aca="false">D29*C29</f>
        <v>21.6</v>
      </c>
      <c r="F29" s="15"/>
      <c r="G29" s="15"/>
      <c r="H29" s="15"/>
    </row>
    <row r="30" customFormat="false" ht="15.75" hidden="false" customHeight="false" outlineLevel="0" collapsed="false">
      <c r="A30" s="22"/>
      <c r="B30" s="5" t="s">
        <v>236</v>
      </c>
      <c r="C30" s="6" t="n">
        <v>0.02</v>
      </c>
      <c r="D30" s="6" t="n">
        <v>480</v>
      </c>
      <c r="E30" s="7" t="n">
        <f aca="false">D30*C30</f>
        <v>9.6</v>
      </c>
      <c r="F30" s="15"/>
      <c r="G30" s="15"/>
      <c r="H30" s="15"/>
    </row>
    <row r="31" customFormat="false" ht="15.75" hidden="false" customHeight="false" outlineLevel="0" collapsed="false">
      <c r="A31" s="22"/>
      <c r="B31" s="28"/>
      <c r="C31" s="6"/>
      <c r="D31" s="6"/>
      <c r="E31" s="7" t="n">
        <f aca="false">D31*C31</f>
        <v>0</v>
      </c>
      <c r="F31" s="15"/>
      <c r="G31" s="15"/>
      <c r="H31" s="15"/>
    </row>
    <row r="32" customFormat="false" ht="15.75" hidden="false" customHeight="false" outlineLevel="0" collapsed="false">
      <c r="A32" s="22"/>
      <c r="B32" s="28"/>
      <c r="C32" s="6"/>
      <c r="D32" s="6"/>
      <c r="E32" s="7" t="n">
        <f aca="false">D32*C32</f>
        <v>0</v>
      </c>
      <c r="F32" s="15"/>
      <c r="G32" s="15"/>
      <c r="H32" s="15"/>
    </row>
    <row r="33" customFormat="false" ht="15.75" hidden="false" customHeight="false" outlineLevel="0" collapsed="false">
      <c r="A33" s="22"/>
      <c r="B33" s="28"/>
      <c r="C33" s="6"/>
      <c r="D33" s="6"/>
      <c r="E33" s="7" t="n">
        <f aca="false">D33*C33</f>
        <v>0</v>
      </c>
      <c r="F33" s="15"/>
      <c r="G33" s="15"/>
      <c r="H33" s="15"/>
    </row>
    <row r="34" customFormat="false" ht="15.75" hidden="false" customHeight="false" outlineLevel="0" collapsed="false">
      <c r="A34" s="22"/>
      <c r="B34" s="28"/>
      <c r="C34" s="6"/>
      <c r="D34" s="6"/>
      <c r="E34" s="7" t="n">
        <f aca="false">D34*C34</f>
        <v>0</v>
      </c>
      <c r="F34" s="15"/>
      <c r="G34" s="26"/>
      <c r="H34" s="9"/>
    </row>
    <row r="35" customFormat="false" ht="15.75" hidden="false" customHeight="false" outlineLevel="0" collapsed="false">
      <c r="A35" s="12"/>
      <c r="B35" s="11"/>
      <c r="C35" s="12"/>
      <c r="D35" s="12"/>
      <c r="E35" s="32"/>
      <c r="F35" s="12"/>
      <c r="G35" s="12"/>
      <c r="H35" s="12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5.75" hidden="false" customHeight="false" outlineLevel="0" collapsed="false">
      <c r="A36" s="33"/>
      <c r="B36" s="11"/>
      <c r="C36" s="12"/>
      <c r="D36" s="12"/>
      <c r="E36" s="32"/>
      <c r="F36" s="33"/>
      <c r="G36" s="33"/>
      <c r="H36" s="3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5.75" hidden="false" customHeight="false" outlineLevel="0" collapsed="false">
      <c r="A37" s="33"/>
      <c r="B37" s="11"/>
      <c r="C37" s="12"/>
      <c r="D37" s="12"/>
      <c r="E37" s="32"/>
      <c r="F37" s="33"/>
      <c r="G37" s="33"/>
      <c r="H37" s="3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5.75" hidden="false" customHeight="false" outlineLevel="0" collapsed="false">
      <c r="A38" s="33"/>
      <c r="B38" s="11"/>
      <c r="C38" s="12"/>
      <c r="D38" s="12"/>
      <c r="E38" s="32"/>
      <c r="F38" s="33"/>
      <c r="G38" s="33"/>
      <c r="H38" s="3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5.75" hidden="false" customHeight="false" outlineLevel="0" collapsed="false">
      <c r="A39" s="33"/>
      <c r="B39" s="11"/>
      <c r="C39" s="12"/>
      <c r="D39" s="12"/>
      <c r="E39" s="32"/>
      <c r="F39" s="33"/>
      <c r="G39" s="33"/>
      <c r="H39" s="3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5.75" hidden="false" customHeight="false" outlineLevel="0" collapsed="false">
      <c r="A40" s="33"/>
      <c r="B40" s="11"/>
      <c r="C40" s="12"/>
      <c r="D40" s="12"/>
      <c r="E40" s="32"/>
      <c r="F40" s="33"/>
      <c r="G40" s="33"/>
      <c r="H40" s="3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5.75" hidden="false" customHeight="false" outlineLevel="0" collapsed="false">
      <c r="A41" s="33"/>
      <c r="B41" s="11"/>
      <c r="C41" s="12"/>
      <c r="D41" s="12"/>
      <c r="E41" s="32"/>
      <c r="F41" s="33"/>
      <c r="G41" s="33"/>
      <c r="H41" s="3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5.75" hidden="false" customHeight="false" outlineLevel="0" collapsed="false">
      <c r="A42" s="33"/>
      <c r="B42" s="11"/>
      <c r="C42" s="12"/>
      <c r="D42" s="12"/>
      <c r="E42" s="32"/>
      <c r="F42" s="33"/>
      <c r="G42" s="33"/>
      <c r="H42" s="3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5.75" hidden="false" customHeight="false" outlineLevel="0" collapsed="false">
      <c r="A43" s="33"/>
      <c r="B43" s="11"/>
      <c r="C43" s="12"/>
      <c r="D43" s="12"/>
      <c r="E43" s="32"/>
      <c r="F43" s="33"/>
      <c r="G43" s="33"/>
      <c r="H43" s="3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5.75" hidden="false" customHeight="false" outlineLevel="0" collapsed="false">
      <c r="A44" s="33"/>
      <c r="B44" s="11"/>
      <c r="C44" s="12"/>
      <c r="D44" s="12"/>
      <c r="E44" s="32"/>
      <c r="F44" s="33"/>
      <c r="G44" s="33"/>
      <c r="H44" s="3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5.75" hidden="false" customHeight="false" outlineLevel="0" collapsed="false">
      <c r="A45" s="33"/>
      <c r="B45" s="11"/>
      <c r="C45" s="12"/>
      <c r="D45" s="12"/>
      <c r="E45" s="32"/>
      <c r="F45" s="33"/>
      <c r="G45" s="33"/>
      <c r="H45" s="3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5.75" hidden="false" customHeight="false" outlineLevel="0" collapsed="false">
      <c r="A46" s="33"/>
      <c r="B46" s="11"/>
      <c r="C46" s="12"/>
      <c r="D46" s="12"/>
      <c r="E46" s="32"/>
      <c r="F46" s="33"/>
      <c r="G46" s="33"/>
      <c r="H46" s="3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5.75" hidden="false" customHeight="false" outlineLevel="0" collapsed="false">
      <c r="A47" s="33"/>
      <c r="B47" s="11"/>
      <c r="C47" s="12"/>
      <c r="D47" s="12"/>
      <c r="E47" s="32"/>
      <c r="F47" s="33"/>
      <c r="G47" s="33"/>
      <c r="H47" s="3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5.75" hidden="false" customHeight="false" outlineLevel="0" collapsed="false">
      <c r="A48" s="33"/>
      <c r="B48" s="11"/>
      <c r="C48" s="12"/>
      <c r="D48" s="12"/>
      <c r="E48" s="32"/>
      <c r="F48" s="33"/>
      <c r="G48" s="33"/>
      <c r="H48" s="3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5.75" hidden="false" customHeight="false" outlineLevel="0" collapsed="false">
      <c r="A49" s="33"/>
      <c r="B49" s="11"/>
      <c r="C49" s="12"/>
      <c r="D49" s="12"/>
      <c r="E49" s="32"/>
      <c r="F49" s="33"/>
      <c r="G49" s="33"/>
      <c r="H49" s="3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5.75" hidden="false" customHeight="false" outlineLevel="0" collapsed="false">
      <c r="A50" s="33"/>
      <c r="B50" s="11"/>
      <c r="C50" s="12"/>
      <c r="D50" s="12"/>
      <c r="E50" s="32"/>
      <c r="F50" s="33"/>
      <c r="G50" s="33"/>
      <c r="H50" s="3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5.75" hidden="false" customHeight="false" outlineLevel="0" collapsed="false">
      <c r="A51" s="33"/>
      <c r="B51" s="11"/>
      <c r="C51" s="12"/>
      <c r="D51" s="12"/>
      <c r="E51" s="32"/>
      <c r="F51" s="33"/>
      <c r="G51" s="33"/>
      <c r="H51" s="3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5.75" hidden="false" customHeight="false" outlineLevel="0" collapsed="false">
      <c r="A52" s="33"/>
      <c r="B52" s="11"/>
      <c r="C52" s="12"/>
      <c r="D52" s="12"/>
      <c r="E52" s="32"/>
      <c r="F52" s="33"/>
      <c r="G52" s="33"/>
      <c r="H52" s="3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5.75" hidden="false" customHeight="false" outlineLevel="0" collapsed="false">
      <c r="A53" s="33"/>
      <c r="B53" s="11"/>
      <c r="C53" s="12"/>
      <c r="D53" s="12"/>
      <c r="E53" s="32"/>
      <c r="F53" s="33"/>
      <c r="G53" s="33"/>
      <c r="H53" s="3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5.75" hidden="false" customHeight="false" outlineLevel="0" collapsed="false">
      <c r="A54" s="33"/>
      <c r="B54" s="11"/>
      <c r="C54" s="12"/>
      <c r="D54" s="12"/>
      <c r="E54" s="32"/>
      <c r="F54" s="33"/>
      <c r="G54" s="33"/>
      <c r="H54" s="3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5.75" hidden="false" customHeight="false" outlineLevel="0" collapsed="false">
      <c r="A55" s="33"/>
      <c r="B55" s="11"/>
      <c r="C55" s="12"/>
      <c r="D55" s="12"/>
      <c r="E55" s="32"/>
      <c r="F55" s="33"/>
      <c r="G55" s="33"/>
      <c r="H55" s="3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5.75" hidden="false" customHeight="false" outlineLevel="0" collapsed="false">
      <c r="A56" s="33"/>
      <c r="B56" s="11"/>
      <c r="C56" s="12"/>
      <c r="D56" s="12"/>
      <c r="E56" s="32"/>
      <c r="F56" s="33"/>
      <c r="G56" s="33"/>
      <c r="H56" s="3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5.75" hidden="false" customHeight="false" outlineLevel="0" collapsed="false">
      <c r="A57" s="33"/>
      <c r="B57" s="11"/>
      <c r="C57" s="12"/>
      <c r="D57" s="12"/>
      <c r="E57" s="32"/>
      <c r="F57" s="33"/>
      <c r="G57" s="33"/>
      <c r="H57" s="3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5.75" hidden="false" customHeight="false" outlineLevel="0" collapsed="false">
      <c r="A58" s="33"/>
      <c r="B58" s="11"/>
      <c r="C58" s="12"/>
      <c r="D58" s="12"/>
      <c r="E58" s="32"/>
      <c r="F58" s="33"/>
      <c r="G58" s="33"/>
      <c r="H58" s="3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5.75" hidden="false" customHeight="false" outlineLevel="0" collapsed="false">
      <c r="A59" s="33"/>
      <c r="B59" s="11"/>
      <c r="C59" s="12"/>
      <c r="D59" s="12"/>
      <c r="E59" s="32"/>
      <c r="F59" s="33"/>
      <c r="G59" s="33"/>
      <c r="H59" s="3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5.75" hidden="false" customHeight="false" outlineLevel="0" collapsed="false">
      <c r="A60" s="10"/>
      <c r="B60" s="11"/>
      <c r="C60" s="12"/>
      <c r="D60" s="12"/>
      <c r="E60" s="12"/>
      <c r="F60" s="12"/>
      <c r="G60" s="12"/>
      <c r="H60" s="12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5.75" hidden="false" customHeight="false" outlineLevel="0" collapsed="false">
      <c r="A61" s="10"/>
      <c r="B61" s="11"/>
      <c r="C61" s="12"/>
      <c r="D61" s="12"/>
      <c r="E61" s="12"/>
      <c r="F61" s="12"/>
      <c r="G61" s="12"/>
      <c r="H61" s="12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5.75" hidden="false" customHeight="false" outlineLevel="0" collapsed="false">
      <c r="A62" s="10"/>
      <c r="B62" s="11"/>
      <c r="C62" s="12"/>
      <c r="D62" s="12"/>
      <c r="E62" s="12"/>
      <c r="F62" s="12"/>
      <c r="G62" s="12"/>
      <c r="H62" s="12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.75" hidden="false" customHeight="false" outlineLevel="0" collapsed="false">
      <c r="A63" s="10"/>
      <c r="B63" s="11"/>
      <c r="C63" s="12"/>
      <c r="D63" s="12"/>
      <c r="E63" s="12"/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12"/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12"/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12"/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12"/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12"/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12"/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12"/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12"/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12"/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12"/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12"/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12"/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A97" s="10"/>
      <c r="B97" s="11"/>
      <c r="C97" s="12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false" outlineLevel="0" collapsed="false">
      <c r="A98" s="10"/>
      <c r="B98" s="11"/>
      <c r="C98" s="12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false" outlineLevel="0" collapsed="false">
      <c r="A99" s="10"/>
      <c r="B99" s="11"/>
      <c r="C99" s="12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false" outlineLevel="0" collapsed="false">
      <c r="A100" s="10"/>
      <c r="B100" s="11"/>
      <c r="C100" s="12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B991" s="13"/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B992" s="13"/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B993" s="13"/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B994" s="13"/>
    </row>
  </sheetData>
  <mergeCells count="32">
    <mergeCell ref="A2:A9"/>
    <mergeCell ref="F2:F9"/>
    <mergeCell ref="G2:G9"/>
    <mergeCell ref="H2:H9"/>
    <mergeCell ref="A10:A17"/>
    <mergeCell ref="F10:F17"/>
    <mergeCell ref="G10:G17"/>
    <mergeCell ref="H10:H17"/>
    <mergeCell ref="A18:A26"/>
    <mergeCell ref="F18:F26"/>
    <mergeCell ref="G18:G26"/>
    <mergeCell ref="H18:H26"/>
    <mergeCell ref="A27:A34"/>
    <mergeCell ref="F27:F34"/>
    <mergeCell ref="G27:G34"/>
    <mergeCell ref="H27:H34"/>
    <mergeCell ref="A36:A41"/>
    <mergeCell ref="F36:F41"/>
    <mergeCell ref="G36:G41"/>
    <mergeCell ref="H36:H41"/>
    <mergeCell ref="A42:A47"/>
    <mergeCell ref="F42:F47"/>
    <mergeCell ref="G42:G47"/>
    <mergeCell ref="H42:H47"/>
    <mergeCell ref="A48:A53"/>
    <mergeCell ref="F48:F53"/>
    <mergeCell ref="G48:G53"/>
    <mergeCell ref="H48:H53"/>
    <mergeCell ref="A54:A59"/>
    <mergeCell ref="F54:F59"/>
    <mergeCell ref="G54:G59"/>
    <mergeCell ref="H54:H5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true" outlineLevel="0" collapsed="false">
      <c r="A2" s="22" t="s">
        <v>237</v>
      </c>
      <c r="B2" s="5" t="s">
        <v>70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15" t="e">
        <f aca="false">SUM(E2:E9)</f>
        <v>#REF!</v>
      </c>
      <c r="G2" s="26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22"/>
      <c r="B3" s="5" t="s">
        <v>39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15"/>
      <c r="G3" s="15"/>
      <c r="H3" s="15"/>
    </row>
    <row r="4" customFormat="false" ht="15.75" hidden="false" customHeight="false" outlineLevel="0" collapsed="false">
      <c r="A4" s="22"/>
      <c r="B4" s="5" t="s">
        <v>238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15"/>
      <c r="G4" s="15"/>
      <c r="H4" s="15"/>
    </row>
    <row r="5" customFormat="false" ht="15.75" hidden="false" customHeight="false" outlineLevel="0" collapsed="false">
      <c r="A5" s="22"/>
      <c r="B5" s="5" t="s">
        <v>67</v>
      </c>
      <c r="C5" s="6" t="n">
        <v>0.1</v>
      </c>
      <c r="D5" s="6" t="n">
        <v>180</v>
      </c>
      <c r="E5" s="7" t="n">
        <f aca="false">D5*C5</f>
        <v>18</v>
      </c>
      <c r="F5" s="15"/>
      <c r="G5" s="15"/>
      <c r="H5" s="15"/>
    </row>
    <row r="6" customFormat="false" ht="15.75" hidden="false" customHeight="false" outlineLevel="0" collapsed="false">
      <c r="A6" s="22"/>
      <c r="B6" s="5" t="s">
        <v>66</v>
      </c>
      <c r="C6" s="6" t="n">
        <v>0.04</v>
      </c>
      <c r="D6" s="6" t="n">
        <v>280</v>
      </c>
      <c r="E6" s="7" t="n">
        <f aca="false">D6*C6</f>
        <v>11.2</v>
      </c>
      <c r="F6" s="15"/>
      <c r="G6" s="15"/>
      <c r="H6" s="15"/>
    </row>
    <row r="7" customFormat="false" ht="15.75" hidden="false" customHeight="false" outlineLevel="0" collapsed="false">
      <c r="A7" s="22"/>
      <c r="B7" s="5" t="s">
        <v>218</v>
      </c>
      <c r="C7" s="6" t="n">
        <v>0.01</v>
      </c>
      <c r="D7" s="6" t="n">
        <v>280</v>
      </c>
      <c r="E7" s="7" t="n">
        <f aca="false">D7*C7</f>
        <v>2.8</v>
      </c>
      <c r="F7" s="15"/>
      <c r="G7" s="15"/>
      <c r="H7" s="15"/>
    </row>
    <row r="8" customFormat="false" ht="15.75" hidden="false" customHeight="false" outlineLevel="0" collapsed="false">
      <c r="A8" s="22"/>
      <c r="B8" s="5"/>
      <c r="C8" s="6"/>
      <c r="D8" s="6"/>
      <c r="E8" s="7"/>
      <c r="F8" s="15"/>
      <c r="G8" s="15"/>
      <c r="H8" s="15"/>
    </row>
    <row r="9" customFormat="false" ht="15.75" hidden="false" customHeight="false" outlineLevel="0" collapsed="false">
      <c r="A9" s="22"/>
      <c r="B9" s="28"/>
      <c r="C9" s="6"/>
      <c r="D9" s="6"/>
      <c r="E9" s="7" t="n">
        <f aca="false">D9*C9</f>
        <v>0</v>
      </c>
      <c r="F9" s="15"/>
      <c r="G9" s="26"/>
      <c r="H9" s="9"/>
    </row>
    <row r="10" customFormat="false" ht="15.75" hidden="false" customHeight="true" outlineLevel="0" collapsed="false">
      <c r="A10" s="22" t="s">
        <v>239</v>
      </c>
      <c r="B10" s="5" t="s">
        <v>32</v>
      </c>
      <c r="C10" s="6" t="n">
        <v>0.04</v>
      </c>
      <c r="D10" s="6" t="e">
        <f aca="false">#REF!</f>
        <v>#REF!</v>
      </c>
      <c r="E10" s="7" t="e">
        <f aca="false">D10*C10</f>
        <v>#REF!</v>
      </c>
      <c r="F10" s="15" t="e">
        <f aca="false">SUM(E10:E17)</f>
        <v>#REF!</v>
      </c>
      <c r="G10" s="26" t="n">
        <v>800</v>
      </c>
      <c r="H10" s="9" t="e">
        <f aca="false">(G10-F10)/F10*100</f>
        <v>#REF!</v>
      </c>
    </row>
    <row r="11" customFormat="false" ht="15.75" hidden="false" customHeight="false" outlineLevel="0" collapsed="false">
      <c r="A11" s="22"/>
      <c r="B11" s="5" t="s">
        <v>100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15"/>
      <c r="G11" s="15"/>
      <c r="H11" s="15"/>
    </row>
    <row r="12" customFormat="false" ht="15.75" hidden="false" customHeight="false" outlineLevel="0" collapsed="false">
      <c r="A12" s="22"/>
      <c r="B12" s="5" t="s">
        <v>240</v>
      </c>
      <c r="C12" s="6" t="n">
        <v>0.02</v>
      </c>
      <c r="D12" s="6" t="e">
        <f aca="false">#REF!</f>
        <v>#REF!</v>
      </c>
      <c r="E12" s="7" t="e">
        <f aca="false">D12*C12</f>
        <v>#REF!</v>
      </c>
      <c r="F12" s="15"/>
      <c r="G12" s="15"/>
      <c r="H12" s="15"/>
    </row>
    <row r="13" customFormat="false" ht="15.75" hidden="false" customHeight="false" outlineLevel="0" collapsed="false">
      <c r="A13" s="22"/>
      <c r="B13" s="5" t="s">
        <v>104</v>
      </c>
      <c r="C13" s="6" t="n">
        <v>0.1</v>
      </c>
      <c r="D13" s="6" t="n">
        <v>180</v>
      </c>
      <c r="E13" s="7" t="n">
        <f aca="false">D13*C13</f>
        <v>18</v>
      </c>
      <c r="F13" s="15"/>
      <c r="G13" s="15"/>
      <c r="H13" s="15"/>
    </row>
    <row r="14" customFormat="false" ht="15.75" hidden="false" customHeight="false" outlineLevel="0" collapsed="false">
      <c r="A14" s="22"/>
      <c r="B14" s="5" t="s">
        <v>66</v>
      </c>
      <c r="C14" s="6" t="n">
        <v>0.04</v>
      </c>
      <c r="D14" s="6" t="n">
        <v>280</v>
      </c>
      <c r="E14" s="7" t="n">
        <f aca="false">D14*C14</f>
        <v>11.2</v>
      </c>
      <c r="F14" s="15"/>
      <c r="G14" s="15"/>
      <c r="H14" s="15"/>
    </row>
    <row r="15" customFormat="false" ht="15.75" hidden="false" customHeight="false" outlineLevel="0" collapsed="false">
      <c r="A15" s="22"/>
      <c r="B15" s="5" t="s">
        <v>62</v>
      </c>
      <c r="C15" s="6" t="n">
        <v>0.015</v>
      </c>
      <c r="D15" s="6" t="n">
        <v>280</v>
      </c>
      <c r="E15" s="7" t="n">
        <f aca="false">D15*C15</f>
        <v>4.2</v>
      </c>
      <c r="F15" s="15"/>
      <c r="G15" s="15"/>
      <c r="H15" s="15"/>
    </row>
    <row r="16" customFormat="false" ht="15.75" hidden="false" customHeight="false" outlineLevel="0" collapsed="false">
      <c r="A16" s="22"/>
      <c r="B16" s="21"/>
      <c r="C16" s="6"/>
      <c r="D16" s="6"/>
      <c r="E16" s="7" t="n">
        <f aca="false">D16*C16</f>
        <v>0</v>
      </c>
      <c r="F16" s="15"/>
      <c r="G16" s="15"/>
      <c r="H16" s="15"/>
    </row>
    <row r="17" customFormat="false" ht="15.75" hidden="false" customHeight="false" outlineLevel="0" collapsed="false">
      <c r="A17" s="22"/>
      <c r="B17" s="21"/>
      <c r="C17" s="6"/>
      <c r="D17" s="6"/>
      <c r="E17" s="7" t="n">
        <f aca="false">D17*C17</f>
        <v>0</v>
      </c>
      <c r="F17" s="15"/>
      <c r="G17" s="26"/>
      <c r="H17" s="9"/>
    </row>
    <row r="18" customFormat="false" ht="15.75" hidden="false" customHeight="true" outlineLevel="0" collapsed="false">
      <c r="A18" s="22" t="s">
        <v>241</v>
      </c>
      <c r="B18" s="5" t="s">
        <v>242</v>
      </c>
      <c r="C18" s="6" t="n">
        <v>0.04</v>
      </c>
      <c r="D18" s="6" t="e">
        <f aca="false">#REF!</f>
        <v>#REF!</v>
      </c>
      <c r="E18" s="7" t="e">
        <f aca="false">D18*C18</f>
        <v>#REF!</v>
      </c>
      <c r="F18" s="15" t="e">
        <f aca="false">SUM(E18:E26)</f>
        <v>#REF!</v>
      </c>
      <c r="G18" s="26" t="n">
        <v>700</v>
      </c>
      <c r="H18" s="9" t="e">
        <f aca="false">(G18-F18)/F18*100</f>
        <v>#REF!</v>
      </c>
    </row>
    <row r="19" customFormat="false" ht="15.75" hidden="false" customHeight="false" outlineLevel="0" collapsed="false">
      <c r="A19" s="22"/>
      <c r="B19" s="5" t="s">
        <v>243</v>
      </c>
      <c r="C19" s="6" t="n">
        <v>0.02</v>
      </c>
      <c r="D19" s="6" t="e">
        <f aca="false">#REF!</f>
        <v>#REF!</v>
      </c>
      <c r="E19" s="7" t="e">
        <f aca="false">D19*C19</f>
        <v>#REF!</v>
      </c>
      <c r="F19" s="15"/>
      <c r="G19" s="15"/>
      <c r="H19" s="15"/>
    </row>
    <row r="20" customFormat="false" ht="15.75" hidden="false" customHeight="false" outlineLevel="0" collapsed="false">
      <c r="A20" s="22"/>
      <c r="B20" s="5" t="s">
        <v>244</v>
      </c>
      <c r="C20" s="6" t="n">
        <v>0.02</v>
      </c>
      <c r="D20" s="7" t="e">
        <f aca="false">#REF!</f>
        <v>#REF!</v>
      </c>
      <c r="E20" s="7" t="e">
        <f aca="false">D20*C20</f>
        <v>#REF!</v>
      </c>
      <c r="F20" s="15"/>
      <c r="G20" s="15"/>
      <c r="H20" s="15"/>
    </row>
    <row r="21" customFormat="false" ht="15.75" hidden="false" customHeight="false" outlineLevel="0" collapsed="false">
      <c r="A21" s="22"/>
      <c r="B21" s="5" t="s">
        <v>98</v>
      </c>
      <c r="C21" s="6" t="n">
        <v>0.1</v>
      </c>
      <c r="D21" s="6" t="n">
        <v>180</v>
      </c>
      <c r="E21" s="7" t="n">
        <f aca="false">D21*C21</f>
        <v>18</v>
      </c>
      <c r="F21" s="15"/>
      <c r="G21" s="15"/>
      <c r="H21" s="15"/>
    </row>
    <row r="22" customFormat="false" ht="15.75" hidden="false" customHeight="false" outlineLevel="0" collapsed="false">
      <c r="A22" s="22"/>
      <c r="B22" s="5" t="s">
        <v>66</v>
      </c>
      <c r="C22" s="6" t="n">
        <v>0.04</v>
      </c>
      <c r="D22" s="6" t="n">
        <v>280</v>
      </c>
      <c r="E22" s="7" t="n">
        <f aca="false">D22*C22</f>
        <v>11.2</v>
      </c>
      <c r="F22" s="15"/>
      <c r="G22" s="15"/>
      <c r="H22" s="15"/>
    </row>
    <row r="23" customFormat="false" ht="15.75" hidden="false" customHeight="false" outlineLevel="0" collapsed="false">
      <c r="A23" s="22"/>
      <c r="B23" s="5" t="s">
        <v>62</v>
      </c>
      <c r="C23" s="6" t="n">
        <v>0.015</v>
      </c>
      <c r="D23" s="6" t="n">
        <v>280</v>
      </c>
      <c r="E23" s="7" t="n">
        <f aca="false">D23*C23</f>
        <v>4.2</v>
      </c>
      <c r="F23" s="15"/>
      <c r="G23" s="15"/>
      <c r="H23" s="15"/>
    </row>
    <row r="24" customFormat="false" ht="15.75" hidden="false" customHeight="false" outlineLevel="0" collapsed="false">
      <c r="A24" s="22"/>
      <c r="B24" s="21"/>
      <c r="C24" s="6"/>
      <c r="D24" s="6"/>
      <c r="E24" s="7" t="n">
        <f aca="false">D24*C24</f>
        <v>0</v>
      </c>
      <c r="F24" s="15"/>
      <c r="G24" s="15"/>
      <c r="H24" s="15"/>
    </row>
    <row r="25" customFormat="false" ht="15.75" hidden="false" customHeight="false" outlineLevel="0" collapsed="false">
      <c r="A25" s="22"/>
      <c r="B25" s="21"/>
      <c r="C25" s="6"/>
      <c r="D25" s="6"/>
      <c r="E25" s="7" t="n">
        <f aca="false">D25*C25</f>
        <v>0</v>
      </c>
      <c r="F25" s="15"/>
      <c r="G25" s="15"/>
      <c r="H25" s="15"/>
    </row>
    <row r="26" customFormat="false" ht="15.75" hidden="false" customHeight="false" outlineLevel="0" collapsed="false">
      <c r="A26" s="22"/>
      <c r="B26" s="21"/>
      <c r="C26" s="6"/>
      <c r="D26" s="6"/>
      <c r="E26" s="7" t="n">
        <f aca="false">D26*C26</f>
        <v>0</v>
      </c>
      <c r="F26" s="15"/>
      <c r="G26" s="26"/>
      <c r="H26" s="9"/>
    </row>
    <row r="27" customFormat="false" ht="15.75" hidden="false" customHeight="true" outlineLevel="0" collapsed="false">
      <c r="A27" s="22" t="s">
        <v>245</v>
      </c>
      <c r="B27" s="6" t="s">
        <v>246</v>
      </c>
      <c r="C27" s="6" t="n">
        <v>0.02</v>
      </c>
      <c r="D27" s="6" t="e">
        <f aca="false">#REF!</f>
        <v>#REF!</v>
      </c>
      <c r="E27" s="7" t="e">
        <f aca="false">D27*C27</f>
        <v>#REF!</v>
      </c>
      <c r="F27" s="15" t="e">
        <f aca="false">SUM(E27:E34)</f>
        <v>#REF!</v>
      </c>
      <c r="G27" s="26" t="n">
        <v>1000</v>
      </c>
      <c r="H27" s="9" t="e">
        <f aca="false">(G27-F27)/F27*100</f>
        <v>#REF!</v>
      </c>
    </row>
    <row r="28" customFormat="false" ht="15.75" hidden="false" customHeight="false" outlineLevel="0" collapsed="false">
      <c r="A28" s="22"/>
      <c r="B28" s="21" t="s">
        <v>46</v>
      </c>
      <c r="C28" s="6" t="n">
        <v>0.02</v>
      </c>
      <c r="D28" s="6" t="e">
        <f aca="false">#REF!</f>
        <v>#REF!</v>
      </c>
      <c r="E28" s="7" t="e">
        <f aca="false">D28*C28</f>
        <v>#REF!</v>
      </c>
      <c r="F28" s="15"/>
      <c r="G28" s="15"/>
      <c r="H28" s="15"/>
    </row>
    <row r="29" customFormat="false" ht="15.75" hidden="false" customHeight="false" outlineLevel="0" collapsed="false">
      <c r="A29" s="22"/>
      <c r="B29" s="21" t="s">
        <v>247</v>
      </c>
      <c r="C29" s="6" t="n">
        <v>0.02</v>
      </c>
      <c r="D29" s="6" t="e">
        <f aca="false">#REF!</f>
        <v>#REF!</v>
      </c>
      <c r="E29" s="7" t="e">
        <f aca="false">D29*C29</f>
        <v>#REF!</v>
      </c>
      <c r="F29" s="15"/>
      <c r="G29" s="15"/>
      <c r="H29" s="15"/>
    </row>
    <row r="30" customFormat="false" ht="15.75" hidden="false" customHeight="false" outlineLevel="0" collapsed="false">
      <c r="A30" s="22"/>
      <c r="B30" s="21" t="s">
        <v>248</v>
      </c>
      <c r="C30" s="6" t="n">
        <v>0.02</v>
      </c>
      <c r="D30" s="6" t="e">
        <f aca="false">#REF!</f>
        <v>#REF!</v>
      </c>
      <c r="E30" s="7" t="e">
        <f aca="false">D30*C30</f>
        <v>#REF!</v>
      </c>
      <c r="F30" s="15"/>
      <c r="G30" s="15"/>
      <c r="H30" s="15"/>
    </row>
    <row r="31" customFormat="false" ht="15.75" hidden="false" customHeight="false" outlineLevel="0" collapsed="false">
      <c r="A31" s="22"/>
      <c r="B31" s="21" t="s">
        <v>100</v>
      </c>
      <c r="C31" s="6" t="n">
        <v>0.02</v>
      </c>
      <c r="D31" s="6" t="e">
        <f aca="false">#REF!</f>
        <v>#REF!</v>
      </c>
      <c r="E31" s="7" t="e">
        <f aca="false">D31*C31</f>
        <v>#REF!</v>
      </c>
      <c r="F31" s="15"/>
      <c r="G31" s="15"/>
      <c r="H31" s="15"/>
    </row>
    <row r="32" customFormat="false" ht="15.75" hidden="false" customHeight="false" outlineLevel="0" collapsed="false">
      <c r="A32" s="22"/>
      <c r="B32" s="21" t="s">
        <v>66</v>
      </c>
      <c r="C32" s="6" t="n">
        <v>0.04</v>
      </c>
      <c r="D32" s="6" t="n">
        <v>280</v>
      </c>
      <c r="E32" s="7" t="n">
        <f aca="false">D32*C32</f>
        <v>11.2</v>
      </c>
      <c r="F32" s="15"/>
      <c r="G32" s="15"/>
      <c r="H32" s="15"/>
    </row>
    <row r="33" customFormat="false" ht="15.75" hidden="false" customHeight="false" outlineLevel="0" collapsed="false">
      <c r="A33" s="22"/>
      <c r="B33" s="21" t="s">
        <v>249</v>
      </c>
      <c r="C33" s="6" t="n">
        <v>0.1</v>
      </c>
      <c r="D33" s="6" t="e">
        <f aca="false">#REF!</f>
        <v>#REF!</v>
      </c>
      <c r="E33" s="7" t="e">
        <f aca="false">D33*C33</f>
        <v>#REF!</v>
      </c>
      <c r="F33" s="15"/>
      <c r="G33" s="15"/>
      <c r="H33" s="15"/>
    </row>
    <row r="34" customFormat="false" ht="15.75" hidden="false" customHeight="false" outlineLevel="0" collapsed="false">
      <c r="A34" s="22"/>
      <c r="B34" s="21" t="s">
        <v>218</v>
      </c>
      <c r="C34" s="6" t="n">
        <v>0.01</v>
      </c>
      <c r="D34" s="6" t="n">
        <v>280</v>
      </c>
      <c r="E34" s="7" t="n">
        <f aca="false">D34*C34</f>
        <v>2.8</v>
      </c>
      <c r="F34" s="15"/>
      <c r="G34" s="26"/>
      <c r="H34" s="9"/>
    </row>
    <row r="35" customFormat="false" ht="15.75" hidden="false" customHeight="true" outlineLevel="0" collapsed="false">
      <c r="A35" s="22" t="s">
        <v>250</v>
      </c>
      <c r="B35" s="6" t="s">
        <v>251</v>
      </c>
      <c r="C35" s="6" t="n">
        <v>0.04</v>
      </c>
      <c r="D35" s="6" t="e">
        <f aca="false">#REF!</f>
        <v>#REF!</v>
      </c>
      <c r="E35" s="7" t="e">
        <f aca="false">D35*C35</f>
        <v>#REF!</v>
      </c>
      <c r="F35" s="15" t="e">
        <f aca="false">SUM(E35:E42)</f>
        <v>#REF!</v>
      </c>
      <c r="G35" s="26" t="n">
        <v>800</v>
      </c>
      <c r="H35" s="9" t="e">
        <f aca="false">(G35-F35)/F35*100</f>
        <v>#REF!</v>
      </c>
    </row>
    <row r="36" customFormat="false" ht="15.75" hidden="false" customHeight="false" outlineLevel="0" collapsed="false">
      <c r="A36" s="22"/>
      <c r="B36" s="21" t="s">
        <v>185</v>
      </c>
      <c r="C36" s="6" t="n">
        <v>0.02</v>
      </c>
      <c r="D36" s="6" t="e">
        <f aca="false">#REF!</f>
        <v>#REF!</v>
      </c>
      <c r="E36" s="7" t="e">
        <f aca="false">D36*C36</f>
        <v>#REF!</v>
      </c>
      <c r="F36" s="15"/>
      <c r="G36" s="15"/>
      <c r="H36" s="15"/>
    </row>
    <row r="37" customFormat="false" ht="15.75" hidden="false" customHeight="false" outlineLevel="0" collapsed="false">
      <c r="A37" s="22"/>
      <c r="B37" s="21" t="s">
        <v>252</v>
      </c>
      <c r="C37" s="6" t="n">
        <v>0.05</v>
      </c>
      <c r="D37" s="6" t="n">
        <v>180</v>
      </c>
      <c r="E37" s="7" t="n">
        <f aca="false">D37*C37</f>
        <v>9</v>
      </c>
      <c r="F37" s="15"/>
      <c r="G37" s="15"/>
      <c r="H37" s="15"/>
    </row>
    <row r="38" customFormat="false" ht="15.75" hidden="false" customHeight="false" outlineLevel="0" collapsed="false">
      <c r="A38" s="22"/>
      <c r="B38" s="21" t="s">
        <v>66</v>
      </c>
      <c r="C38" s="6" t="n">
        <v>0.04</v>
      </c>
      <c r="D38" s="6" t="n">
        <v>280</v>
      </c>
      <c r="E38" s="7" t="n">
        <f aca="false">D38*C38</f>
        <v>11.2</v>
      </c>
      <c r="F38" s="15"/>
      <c r="G38" s="15"/>
      <c r="H38" s="15"/>
    </row>
    <row r="39" customFormat="false" ht="15.75" hidden="false" customHeight="false" outlineLevel="0" collapsed="false">
      <c r="A39" s="22"/>
      <c r="B39" s="21" t="s">
        <v>200</v>
      </c>
      <c r="C39" s="6" t="n">
        <v>0.02</v>
      </c>
      <c r="D39" s="6" t="e">
        <f aca="false">#REF!</f>
        <v>#REF!</v>
      </c>
      <c r="E39" s="7" t="e">
        <f aca="false">D39*C39</f>
        <v>#REF!</v>
      </c>
      <c r="F39" s="15"/>
      <c r="G39" s="15"/>
      <c r="H39" s="15"/>
    </row>
    <row r="40" customFormat="false" ht="15.75" hidden="false" customHeight="false" outlineLevel="0" collapsed="false">
      <c r="A40" s="22"/>
      <c r="B40" s="21" t="s">
        <v>209</v>
      </c>
      <c r="C40" s="6" t="n">
        <v>0.1</v>
      </c>
      <c r="D40" s="6" t="e">
        <f aca="false">#REF!</f>
        <v>#REF!</v>
      </c>
      <c r="E40" s="7" t="e">
        <f aca="false">D40*C40</f>
        <v>#REF!</v>
      </c>
      <c r="F40" s="15"/>
      <c r="G40" s="15"/>
      <c r="H40" s="15"/>
    </row>
    <row r="41" customFormat="false" ht="15.75" hidden="false" customHeight="false" outlineLevel="0" collapsed="false">
      <c r="A41" s="22"/>
      <c r="B41" s="21" t="s">
        <v>62</v>
      </c>
      <c r="C41" s="6" t="n">
        <v>0.015</v>
      </c>
      <c r="D41" s="6" t="n">
        <v>280</v>
      </c>
      <c r="E41" s="7" t="n">
        <f aca="false">D41*C41</f>
        <v>4.2</v>
      </c>
      <c r="F41" s="15"/>
      <c r="G41" s="15"/>
      <c r="H41" s="15"/>
    </row>
    <row r="42" customFormat="false" ht="15.75" hidden="false" customHeight="false" outlineLevel="0" collapsed="false">
      <c r="A42" s="22"/>
      <c r="B42" s="28"/>
      <c r="C42" s="6"/>
      <c r="D42" s="6"/>
      <c r="E42" s="7" t="n">
        <f aca="false">D42*C42</f>
        <v>0</v>
      </c>
      <c r="F42" s="15"/>
      <c r="G42" s="26"/>
      <c r="H42" s="9"/>
    </row>
    <row r="43" customFormat="false" ht="15.75" hidden="false" customHeight="true" outlineLevel="0" collapsed="false">
      <c r="A43" s="22" t="s">
        <v>253</v>
      </c>
      <c r="B43" s="6" t="s">
        <v>254</v>
      </c>
      <c r="C43" s="6" t="n">
        <v>0.04</v>
      </c>
      <c r="D43" s="6" t="e">
        <f aca="false">#REF!</f>
        <v>#REF!</v>
      </c>
      <c r="E43" s="7" t="e">
        <f aca="false">D43*C43</f>
        <v>#REF!</v>
      </c>
      <c r="F43" s="15" t="e">
        <f aca="false">SUM(E43:E50)</f>
        <v>#REF!</v>
      </c>
      <c r="G43" s="26" t="n">
        <v>800</v>
      </c>
      <c r="H43" s="9" t="e">
        <f aca="false">(G43-F43)/F43*100</f>
        <v>#REF!</v>
      </c>
    </row>
    <row r="44" customFormat="false" ht="15.75" hidden="false" customHeight="false" outlineLevel="0" collapsed="false">
      <c r="A44" s="22"/>
      <c r="B44" s="21" t="s">
        <v>255</v>
      </c>
      <c r="C44" s="6" t="n">
        <v>0.04</v>
      </c>
      <c r="D44" s="6" t="n">
        <v>180</v>
      </c>
      <c r="E44" s="7" t="n">
        <f aca="false">D44*C44</f>
        <v>7.2</v>
      </c>
      <c r="F44" s="15"/>
      <c r="G44" s="15"/>
      <c r="H44" s="15"/>
    </row>
    <row r="45" customFormat="false" ht="15.75" hidden="false" customHeight="false" outlineLevel="0" collapsed="false">
      <c r="A45" s="22"/>
      <c r="B45" s="21" t="s">
        <v>256</v>
      </c>
      <c r="C45" s="6" t="n">
        <v>0.1</v>
      </c>
      <c r="D45" s="6" t="e">
        <f aca="false">#REF!</f>
        <v>#REF!</v>
      </c>
      <c r="E45" s="7" t="e">
        <f aca="false">D45*C45</f>
        <v>#REF!</v>
      </c>
      <c r="F45" s="15"/>
      <c r="G45" s="15"/>
      <c r="H45" s="15"/>
    </row>
    <row r="46" customFormat="false" ht="15.75" hidden="false" customHeight="false" outlineLevel="0" collapsed="false">
      <c r="A46" s="22"/>
      <c r="B46" s="21" t="s">
        <v>238</v>
      </c>
      <c r="C46" s="6" t="n">
        <v>0.02</v>
      </c>
      <c r="D46" s="6" t="e">
        <f aca="false">#REF!</f>
        <v>#REF!</v>
      </c>
      <c r="E46" s="7" t="e">
        <f aca="false">D46*C46</f>
        <v>#REF!</v>
      </c>
      <c r="F46" s="15"/>
      <c r="G46" s="15"/>
      <c r="H46" s="15"/>
    </row>
    <row r="47" customFormat="false" ht="15.75" hidden="false" customHeight="false" outlineLevel="0" collapsed="false">
      <c r="A47" s="22"/>
      <c r="B47" s="28"/>
      <c r="C47" s="6"/>
      <c r="D47" s="6"/>
      <c r="E47" s="7" t="n">
        <f aca="false">D47*C47</f>
        <v>0</v>
      </c>
      <c r="F47" s="15"/>
      <c r="G47" s="15"/>
      <c r="H47" s="15"/>
    </row>
    <row r="48" customFormat="false" ht="15.75" hidden="false" customHeight="false" outlineLevel="0" collapsed="false">
      <c r="A48" s="22"/>
      <c r="B48" s="28"/>
      <c r="C48" s="6"/>
      <c r="D48" s="6"/>
      <c r="E48" s="7" t="n">
        <f aca="false">D48*C48</f>
        <v>0</v>
      </c>
      <c r="F48" s="15"/>
      <c r="G48" s="15"/>
      <c r="H48" s="15"/>
    </row>
    <row r="49" customFormat="false" ht="15.75" hidden="false" customHeight="false" outlineLevel="0" collapsed="false">
      <c r="A49" s="22"/>
      <c r="B49" s="28"/>
      <c r="C49" s="6"/>
      <c r="D49" s="6"/>
      <c r="E49" s="7" t="n">
        <f aca="false">D49*C49</f>
        <v>0</v>
      </c>
      <c r="F49" s="15"/>
      <c r="G49" s="15"/>
      <c r="H49" s="15"/>
    </row>
    <row r="50" customFormat="false" ht="15.75" hidden="false" customHeight="false" outlineLevel="0" collapsed="false">
      <c r="A50" s="22"/>
      <c r="B50" s="28"/>
      <c r="C50" s="6"/>
      <c r="D50" s="6"/>
      <c r="E50" s="7" t="n">
        <f aca="false">D50*C50</f>
        <v>0</v>
      </c>
      <c r="F50" s="15"/>
      <c r="G50" s="26"/>
      <c r="H50" s="9"/>
    </row>
    <row r="51" customFormat="false" ht="15.75" hidden="false" customHeight="true" outlineLevel="0" collapsed="false">
      <c r="A51" s="22" t="s">
        <v>257</v>
      </c>
      <c r="B51" s="34" t="s">
        <v>258</v>
      </c>
      <c r="C51" s="6" t="n">
        <v>0.04</v>
      </c>
      <c r="D51" s="6" t="e">
        <f aca="false">#REF!</f>
        <v>#REF!</v>
      </c>
      <c r="E51" s="7" t="e">
        <f aca="false">D51*C51</f>
        <v>#REF!</v>
      </c>
      <c r="F51" s="15" t="e">
        <f aca="false">SUM(E51:E58)</f>
        <v>#REF!</v>
      </c>
      <c r="G51" s="26" t="n">
        <v>1400</v>
      </c>
      <c r="H51" s="9" t="e">
        <f aca="false">(G51-F51)/F51*100</f>
        <v>#REF!</v>
      </c>
    </row>
    <row r="52" customFormat="false" ht="15.75" hidden="false" customHeight="false" outlineLevel="0" collapsed="false">
      <c r="A52" s="22"/>
      <c r="B52" s="5" t="s">
        <v>259</v>
      </c>
      <c r="C52" s="6" t="n">
        <v>0.02</v>
      </c>
      <c r="D52" s="6" t="e">
        <f aca="false">#REF!</f>
        <v>#REF!</v>
      </c>
      <c r="E52" s="7" t="e">
        <f aca="false">D52*C52</f>
        <v>#REF!</v>
      </c>
      <c r="F52" s="15"/>
      <c r="G52" s="15"/>
      <c r="H52" s="15"/>
    </row>
    <row r="53" customFormat="false" ht="15.75" hidden="false" customHeight="false" outlineLevel="0" collapsed="false">
      <c r="A53" s="22"/>
      <c r="B53" s="5" t="s">
        <v>66</v>
      </c>
      <c r="C53" s="6" t="n">
        <v>0.04</v>
      </c>
      <c r="D53" s="6" t="n">
        <v>280</v>
      </c>
      <c r="E53" s="7" t="n">
        <f aca="false">D53*C53</f>
        <v>11.2</v>
      </c>
      <c r="F53" s="15"/>
      <c r="G53" s="15"/>
      <c r="H53" s="15"/>
    </row>
    <row r="54" customFormat="false" ht="15.75" hidden="false" customHeight="false" outlineLevel="0" collapsed="false">
      <c r="A54" s="22"/>
      <c r="B54" s="5" t="s">
        <v>260</v>
      </c>
      <c r="C54" s="6" t="n">
        <v>0.08</v>
      </c>
      <c r="D54" s="6" t="n">
        <v>180</v>
      </c>
      <c r="E54" s="7" t="n">
        <f aca="false">D54*C54</f>
        <v>14.4</v>
      </c>
      <c r="F54" s="15"/>
      <c r="G54" s="15"/>
      <c r="H54" s="15"/>
    </row>
    <row r="55" customFormat="false" ht="15.75" hidden="false" customHeight="false" outlineLevel="0" collapsed="false">
      <c r="A55" s="22"/>
      <c r="B55" s="5" t="s">
        <v>209</v>
      </c>
      <c r="C55" s="6" t="n">
        <v>0.1</v>
      </c>
      <c r="D55" s="6" t="e">
        <f aca="false">#REF!</f>
        <v>#REF!</v>
      </c>
      <c r="E55" s="7" t="e">
        <f aca="false">D55*C55</f>
        <v>#REF!</v>
      </c>
      <c r="F55" s="15"/>
      <c r="G55" s="15"/>
      <c r="H55" s="15"/>
    </row>
    <row r="56" customFormat="false" ht="15.75" hidden="false" customHeight="false" outlineLevel="0" collapsed="false">
      <c r="A56" s="22"/>
      <c r="B56" s="5" t="s">
        <v>261</v>
      </c>
      <c r="C56" s="6" t="n">
        <v>0.01</v>
      </c>
      <c r="D56" s="6" t="n">
        <v>280</v>
      </c>
      <c r="E56" s="7" t="n">
        <f aca="false">D56*C56</f>
        <v>2.8</v>
      </c>
      <c r="F56" s="15"/>
      <c r="G56" s="15"/>
      <c r="H56" s="15"/>
    </row>
    <row r="57" customFormat="false" ht="15.75" hidden="false" customHeight="false" outlineLevel="0" collapsed="false">
      <c r="A57" s="22"/>
      <c r="B57" s="28"/>
      <c r="C57" s="6"/>
      <c r="D57" s="6"/>
      <c r="E57" s="7" t="n">
        <f aca="false">D57*C57</f>
        <v>0</v>
      </c>
      <c r="F57" s="15"/>
      <c r="G57" s="15"/>
      <c r="H57" s="15"/>
    </row>
    <row r="58" customFormat="false" ht="15.75" hidden="false" customHeight="false" outlineLevel="0" collapsed="false">
      <c r="A58" s="22"/>
      <c r="B58" s="28"/>
      <c r="C58" s="6"/>
      <c r="D58" s="6"/>
      <c r="E58" s="7" t="n">
        <f aca="false">D58*C58</f>
        <v>0</v>
      </c>
      <c r="F58" s="15"/>
      <c r="G58" s="26"/>
      <c r="H58" s="9"/>
    </row>
    <row r="59" customFormat="false" ht="15.75" hidden="false" customHeight="false" outlineLevel="0" collapsed="false">
      <c r="A59" s="4"/>
      <c r="B59" s="6"/>
      <c r="C59" s="6"/>
      <c r="D59" s="6"/>
      <c r="E59" s="7" t="n">
        <f aca="false">D59*C59</f>
        <v>0</v>
      </c>
      <c r="F59" s="15" t="n">
        <f aca="false">SUM(E59:E66)</f>
        <v>0</v>
      </c>
      <c r="G59" s="26"/>
      <c r="H59" s="9" t="e">
        <f aca="false">(G59-F59)/F59*100</f>
        <v>#DIV/0!</v>
      </c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15"/>
      <c r="G60" s="15"/>
      <c r="H60" s="15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15"/>
      <c r="G61" s="15"/>
      <c r="H61" s="15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15"/>
      <c r="G62" s="15"/>
      <c r="H62" s="15"/>
    </row>
    <row r="63" customFormat="false" ht="15.75" hidden="false" customHeight="false" outlineLevel="0" collapsed="false">
      <c r="A63" s="4"/>
      <c r="B63" s="28"/>
      <c r="C63" s="6"/>
      <c r="D63" s="6"/>
      <c r="E63" s="7" t="n">
        <f aca="false">D63*C63</f>
        <v>0</v>
      </c>
      <c r="F63" s="15"/>
      <c r="G63" s="15"/>
      <c r="H63" s="15"/>
    </row>
    <row r="64" customFormat="false" ht="15.75" hidden="false" customHeight="false" outlineLevel="0" collapsed="false">
      <c r="A64" s="4"/>
      <c r="B64" s="28"/>
      <c r="C64" s="6"/>
      <c r="D64" s="6"/>
      <c r="E64" s="7" t="n">
        <f aca="false">D64*C64</f>
        <v>0</v>
      </c>
      <c r="F64" s="15"/>
      <c r="G64" s="15"/>
      <c r="H64" s="15"/>
    </row>
    <row r="65" customFormat="false" ht="15.75" hidden="false" customHeight="false" outlineLevel="0" collapsed="false">
      <c r="A65" s="4"/>
      <c r="B65" s="28"/>
      <c r="C65" s="6"/>
      <c r="D65" s="6"/>
      <c r="E65" s="7" t="n">
        <f aca="false">D65*C65</f>
        <v>0</v>
      </c>
      <c r="F65" s="15"/>
      <c r="G65" s="15"/>
      <c r="H65" s="15"/>
    </row>
    <row r="66" customFormat="false" ht="15.75" hidden="false" customHeight="false" outlineLevel="0" collapsed="false">
      <c r="A66" s="4"/>
      <c r="B66" s="28"/>
      <c r="C66" s="6"/>
      <c r="D66" s="6"/>
      <c r="E66" s="7" t="n">
        <f aca="false">D66*C66</f>
        <v>0</v>
      </c>
      <c r="F66" s="15"/>
      <c r="G66" s="26"/>
      <c r="H66" s="9"/>
    </row>
    <row r="67" customFormat="false" ht="15.75" hidden="false" customHeight="false" outlineLevel="0" collapsed="false">
      <c r="A67" s="10"/>
      <c r="B67" s="11"/>
      <c r="C67" s="12"/>
      <c r="D67" s="12"/>
      <c r="E67" s="12"/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12"/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12"/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12"/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12"/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12"/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12"/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12"/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12"/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A97" s="10"/>
      <c r="B97" s="11"/>
      <c r="C97" s="12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false" outlineLevel="0" collapsed="false">
      <c r="A98" s="10"/>
      <c r="B98" s="11"/>
      <c r="C98" s="12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false" outlineLevel="0" collapsed="false">
      <c r="A99" s="10"/>
      <c r="B99" s="11"/>
      <c r="C99" s="12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false" outlineLevel="0" collapsed="false">
      <c r="A100" s="10"/>
      <c r="B100" s="11"/>
      <c r="C100" s="12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B991" s="13"/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B992" s="13"/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B993" s="13"/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B994" s="13"/>
    </row>
  </sheetData>
  <mergeCells count="32">
    <mergeCell ref="A2:A9"/>
    <mergeCell ref="F2:F9"/>
    <mergeCell ref="G2:G9"/>
    <mergeCell ref="H2:H9"/>
    <mergeCell ref="A10:A17"/>
    <mergeCell ref="F10:F17"/>
    <mergeCell ref="G10:G17"/>
    <mergeCell ref="H10:H17"/>
    <mergeCell ref="A18:A26"/>
    <mergeCell ref="F18:F26"/>
    <mergeCell ref="G18:G26"/>
    <mergeCell ref="H18:H26"/>
    <mergeCell ref="A27:A34"/>
    <mergeCell ref="F27:F34"/>
    <mergeCell ref="G27:G34"/>
    <mergeCell ref="H27:H34"/>
    <mergeCell ref="A35:A42"/>
    <mergeCell ref="F35:F42"/>
    <mergeCell ref="G35:G42"/>
    <mergeCell ref="H35:H42"/>
    <mergeCell ref="A43:A50"/>
    <mergeCell ref="F43:F50"/>
    <mergeCell ref="G43:G50"/>
    <mergeCell ref="H43:H50"/>
    <mergeCell ref="A51:A58"/>
    <mergeCell ref="F51:F58"/>
    <mergeCell ref="G51:G58"/>
    <mergeCell ref="H51:H58"/>
    <mergeCell ref="A59:A66"/>
    <mergeCell ref="F59:F66"/>
    <mergeCell ref="G59:G66"/>
    <mergeCell ref="H59:H66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2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true" outlineLevel="0" collapsed="false">
      <c r="A2" s="22" t="s">
        <v>262</v>
      </c>
      <c r="B2" s="6" t="s">
        <v>97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15" t="e">
        <f aca="false">SUM(E2:E9)</f>
        <v>#REF!</v>
      </c>
      <c r="G2" s="26" t="n">
        <v>650</v>
      </c>
      <c r="H2" s="9" t="e">
        <f aca="false">(G2-F2)/F2*100</f>
        <v>#REF!</v>
      </c>
    </row>
    <row r="3" customFormat="false" ht="15.75" hidden="false" customHeight="false" outlineLevel="0" collapsed="false">
      <c r="A3" s="22"/>
      <c r="B3" s="5" t="s">
        <v>263</v>
      </c>
      <c r="C3" s="6" t="n">
        <v>0.03</v>
      </c>
      <c r="D3" s="6" t="e">
        <f aca="false">#REF!</f>
        <v>#REF!</v>
      </c>
      <c r="E3" s="7" t="e">
        <f aca="false">D3*C3</f>
        <v>#REF!</v>
      </c>
      <c r="F3" s="15"/>
      <c r="G3" s="15"/>
      <c r="H3" s="15"/>
    </row>
    <row r="4" customFormat="false" ht="15.75" hidden="false" customHeight="false" outlineLevel="0" collapsed="false">
      <c r="A4" s="22"/>
      <c r="B4" s="5" t="s">
        <v>66</v>
      </c>
      <c r="C4" s="6" t="n">
        <v>0.04</v>
      </c>
      <c r="D4" s="6" t="e">
        <f aca="false">#REF!</f>
        <v>#REF!</v>
      </c>
      <c r="E4" s="7" t="e">
        <f aca="false">D4*C4</f>
        <v>#REF!</v>
      </c>
      <c r="F4" s="15"/>
      <c r="G4" s="15"/>
      <c r="H4" s="15"/>
    </row>
    <row r="5" customFormat="false" ht="15.75" hidden="false" customHeight="false" outlineLevel="0" collapsed="false">
      <c r="A5" s="22"/>
      <c r="B5" s="5" t="s">
        <v>264</v>
      </c>
      <c r="C5" s="6" t="n">
        <v>0.15</v>
      </c>
      <c r="D5" s="6" t="e">
        <f aca="false">#REF!</f>
        <v>#REF!</v>
      </c>
      <c r="E5" s="7" t="e">
        <f aca="false">D5*C5</f>
        <v>#REF!</v>
      </c>
      <c r="F5" s="15"/>
      <c r="G5" s="15"/>
      <c r="H5" s="15"/>
    </row>
    <row r="6" customFormat="false" ht="15.75" hidden="false" customHeight="false" outlineLevel="0" collapsed="false">
      <c r="A6" s="22"/>
      <c r="B6" s="5" t="s">
        <v>37</v>
      </c>
      <c r="C6" s="6"/>
      <c r="D6" s="6"/>
      <c r="E6" s="7" t="n">
        <v>10</v>
      </c>
      <c r="F6" s="15"/>
      <c r="G6" s="15"/>
      <c r="H6" s="15"/>
    </row>
    <row r="7" customFormat="false" ht="15.75" hidden="false" customHeight="false" outlineLevel="0" collapsed="false">
      <c r="A7" s="22"/>
      <c r="B7" s="5"/>
      <c r="C7" s="6"/>
      <c r="D7" s="6"/>
      <c r="E7" s="7" t="n">
        <f aca="false">D7*C7</f>
        <v>0</v>
      </c>
      <c r="F7" s="15"/>
      <c r="G7" s="15"/>
      <c r="H7" s="15"/>
    </row>
    <row r="8" customFormat="false" ht="15.75" hidden="false" customHeight="false" outlineLevel="0" collapsed="false">
      <c r="A8" s="22"/>
      <c r="B8" s="5"/>
      <c r="C8" s="6"/>
      <c r="D8" s="6"/>
      <c r="E8" s="7"/>
      <c r="F8" s="15"/>
      <c r="G8" s="15"/>
      <c r="H8" s="15"/>
    </row>
    <row r="9" customFormat="false" ht="15.75" hidden="false" customHeight="false" outlineLevel="0" collapsed="false">
      <c r="A9" s="22"/>
      <c r="B9" s="28"/>
      <c r="C9" s="6"/>
      <c r="D9" s="6"/>
      <c r="E9" s="7" t="n">
        <f aca="false">D9*C9</f>
        <v>0</v>
      </c>
      <c r="F9" s="15"/>
      <c r="G9" s="26"/>
      <c r="H9" s="9"/>
    </row>
    <row r="10" customFormat="false" ht="15.75" hidden="false" customHeight="true" outlineLevel="0" collapsed="false">
      <c r="A10" s="22" t="s">
        <v>265</v>
      </c>
      <c r="B10" s="6" t="s">
        <v>97</v>
      </c>
      <c r="C10" s="6" t="n">
        <v>0.04</v>
      </c>
      <c r="D10" s="6" t="e">
        <f aca="false">#REF!</f>
        <v>#REF!</v>
      </c>
      <c r="E10" s="7" t="e">
        <f aca="false">D10*C10</f>
        <v>#REF!</v>
      </c>
      <c r="F10" s="15" t="e">
        <f aca="false">SUM(E10:E17)</f>
        <v>#REF!</v>
      </c>
      <c r="G10" s="26" t="n">
        <v>650</v>
      </c>
      <c r="H10" s="9" t="e">
        <f aca="false">(G10-F10)/F10*100</f>
        <v>#REF!</v>
      </c>
    </row>
    <row r="11" customFormat="false" ht="15.75" hidden="false" customHeight="false" outlineLevel="0" collapsed="false">
      <c r="A11" s="22"/>
      <c r="B11" s="21" t="s">
        <v>266</v>
      </c>
      <c r="C11" s="6" t="n">
        <v>0.08</v>
      </c>
      <c r="D11" s="6" t="e">
        <f aca="false">#REF!</f>
        <v>#REF!</v>
      </c>
      <c r="E11" s="7" t="e">
        <f aca="false">D11*C11</f>
        <v>#REF!</v>
      </c>
      <c r="F11" s="15"/>
      <c r="G11" s="15"/>
      <c r="H11" s="15"/>
    </row>
    <row r="12" customFormat="false" ht="15.75" hidden="false" customHeight="false" outlineLevel="0" collapsed="false">
      <c r="A12" s="22"/>
      <c r="B12" s="21" t="s">
        <v>267</v>
      </c>
      <c r="C12" s="6" t="n">
        <v>0.06</v>
      </c>
      <c r="D12" s="6" t="e">
        <f aca="false">#REF!</f>
        <v>#REF!</v>
      </c>
      <c r="E12" s="7" t="e">
        <f aca="false">D12*C12</f>
        <v>#REF!</v>
      </c>
      <c r="F12" s="15"/>
      <c r="G12" s="15"/>
      <c r="H12" s="15"/>
    </row>
    <row r="13" customFormat="false" ht="15.75" hidden="false" customHeight="false" outlineLevel="0" collapsed="false">
      <c r="A13" s="22"/>
      <c r="B13" s="21" t="s">
        <v>268</v>
      </c>
      <c r="C13" s="6" t="n">
        <v>0.03</v>
      </c>
      <c r="D13" s="6" t="e">
        <f aca="false">#REF!</f>
        <v>#REF!</v>
      </c>
      <c r="E13" s="7" t="e">
        <f aca="false">D13*C13</f>
        <v>#REF!</v>
      </c>
      <c r="F13" s="15"/>
      <c r="G13" s="15"/>
      <c r="H13" s="15"/>
    </row>
    <row r="14" customFormat="false" ht="15.75" hidden="false" customHeight="false" outlineLevel="0" collapsed="false">
      <c r="A14" s="22"/>
      <c r="B14" s="21" t="s">
        <v>208</v>
      </c>
      <c r="C14" s="6" t="n">
        <v>0.05</v>
      </c>
      <c r="D14" s="6" t="e">
        <f aca="false">#REF!</f>
        <v>#REF!</v>
      </c>
      <c r="E14" s="7" t="e">
        <f aca="false">D14*C14</f>
        <v>#REF!</v>
      </c>
      <c r="F14" s="15"/>
      <c r="G14" s="15"/>
      <c r="H14" s="15"/>
    </row>
    <row r="15" customFormat="false" ht="15.75" hidden="false" customHeight="false" outlineLevel="0" collapsed="false">
      <c r="A15" s="22"/>
      <c r="B15" s="21" t="s">
        <v>37</v>
      </c>
      <c r="C15" s="6"/>
      <c r="D15" s="6"/>
      <c r="E15" s="7" t="n">
        <v>10</v>
      </c>
      <c r="F15" s="15"/>
      <c r="G15" s="15"/>
      <c r="H15" s="15"/>
    </row>
    <row r="16" customFormat="false" ht="15.75" hidden="false" customHeight="false" outlineLevel="0" collapsed="false">
      <c r="A16" s="22"/>
      <c r="B16" s="21"/>
      <c r="C16" s="6"/>
      <c r="D16" s="6"/>
      <c r="E16" s="7" t="n">
        <f aca="false">D16*C16</f>
        <v>0</v>
      </c>
      <c r="F16" s="15"/>
      <c r="G16" s="15"/>
      <c r="H16" s="15"/>
    </row>
    <row r="17" customFormat="false" ht="15.75" hidden="false" customHeight="false" outlineLevel="0" collapsed="false">
      <c r="A17" s="22"/>
      <c r="B17" s="21"/>
      <c r="C17" s="6"/>
      <c r="D17" s="6"/>
      <c r="E17" s="7" t="n">
        <f aca="false">D17*C17</f>
        <v>0</v>
      </c>
      <c r="F17" s="15"/>
      <c r="G17" s="26"/>
      <c r="H17" s="9"/>
    </row>
    <row r="18" customFormat="false" ht="15.75" hidden="false" customHeight="true" outlineLevel="0" collapsed="false">
      <c r="A18" s="22" t="s">
        <v>269</v>
      </c>
      <c r="B18" s="6" t="s">
        <v>270</v>
      </c>
      <c r="C18" s="6" t="n">
        <v>0.06</v>
      </c>
      <c r="D18" s="6" t="e">
        <f aca="false">#REF!</f>
        <v>#REF!</v>
      </c>
      <c r="E18" s="7" t="e">
        <f aca="false">D18*C18</f>
        <v>#REF!</v>
      </c>
      <c r="F18" s="15" t="e">
        <f aca="false">SUM(E18:E26)</f>
        <v>#REF!</v>
      </c>
      <c r="G18" s="26" t="n">
        <v>1400</v>
      </c>
      <c r="H18" s="9" t="e">
        <f aca="false">(G18-F18)/F18*100</f>
        <v>#REF!</v>
      </c>
    </row>
    <row r="19" customFormat="false" ht="15.75" hidden="false" customHeight="false" outlineLevel="0" collapsed="false">
      <c r="A19" s="22"/>
      <c r="B19" s="21" t="s">
        <v>198</v>
      </c>
      <c r="C19" s="6" t="n">
        <v>0.04</v>
      </c>
      <c r="D19" s="6" t="e">
        <f aca="false">#REF!</f>
        <v>#REF!</v>
      </c>
      <c r="E19" s="7" t="e">
        <f aca="false">D19*C19</f>
        <v>#REF!</v>
      </c>
      <c r="F19" s="15"/>
      <c r="G19" s="15"/>
      <c r="H19" s="15"/>
    </row>
    <row r="20" customFormat="false" ht="15.75" hidden="false" customHeight="false" outlineLevel="0" collapsed="false">
      <c r="A20" s="22"/>
      <c r="B20" s="21" t="s">
        <v>271</v>
      </c>
      <c r="C20" s="6" t="n">
        <v>0.04</v>
      </c>
      <c r="D20" s="7" t="e">
        <f aca="false">#REF!</f>
        <v>#REF!</v>
      </c>
      <c r="E20" s="7" t="e">
        <f aca="false">D20*C20</f>
        <v>#REF!</v>
      </c>
      <c r="F20" s="15"/>
      <c r="G20" s="15"/>
      <c r="H20" s="15"/>
    </row>
    <row r="21" customFormat="false" ht="15.75" hidden="false" customHeight="false" outlineLevel="0" collapsed="false">
      <c r="A21" s="22"/>
      <c r="B21" s="21" t="s">
        <v>272</v>
      </c>
      <c r="C21" s="6" t="n">
        <v>0.012</v>
      </c>
      <c r="D21" s="6" t="e">
        <f aca="false">#REF!</f>
        <v>#REF!</v>
      </c>
      <c r="E21" s="7" t="e">
        <f aca="false">D21*C21</f>
        <v>#REF!</v>
      </c>
      <c r="F21" s="15"/>
      <c r="G21" s="15"/>
      <c r="H21" s="15"/>
    </row>
    <row r="22" customFormat="false" ht="15.75" hidden="false" customHeight="false" outlineLevel="0" collapsed="false">
      <c r="A22" s="22"/>
      <c r="B22" s="21" t="s">
        <v>273</v>
      </c>
      <c r="C22" s="6" t="n">
        <v>0.008</v>
      </c>
      <c r="D22" s="6" t="e">
        <f aca="false">#REF!</f>
        <v>#REF!</v>
      </c>
      <c r="E22" s="7" t="e">
        <f aca="false">D22*C22</f>
        <v>#REF!</v>
      </c>
      <c r="F22" s="15"/>
      <c r="G22" s="15"/>
      <c r="H22" s="15"/>
    </row>
    <row r="23" customFormat="false" ht="15.75" hidden="false" customHeight="false" outlineLevel="0" collapsed="false">
      <c r="A23" s="22"/>
      <c r="B23" s="5"/>
      <c r="C23" s="6"/>
      <c r="D23" s="6"/>
      <c r="E23" s="7" t="n">
        <f aca="false">D23*C23</f>
        <v>0</v>
      </c>
      <c r="F23" s="15"/>
      <c r="G23" s="15"/>
      <c r="H23" s="15"/>
    </row>
    <row r="24" customFormat="false" ht="15.75" hidden="false" customHeight="false" outlineLevel="0" collapsed="false">
      <c r="A24" s="22"/>
      <c r="B24" s="21"/>
      <c r="C24" s="6"/>
      <c r="D24" s="6"/>
      <c r="E24" s="7" t="n">
        <f aca="false">D24*C24</f>
        <v>0</v>
      </c>
      <c r="F24" s="15"/>
      <c r="G24" s="15"/>
      <c r="H24" s="15"/>
    </row>
    <row r="25" customFormat="false" ht="15.75" hidden="false" customHeight="false" outlineLevel="0" collapsed="false">
      <c r="A25" s="22"/>
      <c r="B25" s="21"/>
      <c r="C25" s="6"/>
      <c r="D25" s="6"/>
      <c r="E25" s="7" t="n">
        <f aca="false">D25*C25</f>
        <v>0</v>
      </c>
      <c r="F25" s="15"/>
      <c r="G25" s="15"/>
      <c r="H25" s="15"/>
    </row>
    <row r="26" customFormat="false" ht="15.75" hidden="false" customHeight="false" outlineLevel="0" collapsed="false">
      <c r="A26" s="22"/>
      <c r="B26" s="21"/>
      <c r="C26" s="6"/>
      <c r="D26" s="6"/>
      <c r="E26" s="7" t="n">
        <f aca="false">D26*C26</f>
        <v>0</v>
      </c>
      <c r="F26" s="15"/>
      <c r="G26" s="26"/>
      <c r="H26" s="9"/>
    </row>
    <row r="27" customFormat="false" ht="15.75" hidden="false" customHeight="false" outlineLevel="0" collapsed="false">
      <c r="A27" s="4" t="s">
        <v>274</v>
      </c>
      <c r="B27" s="6" t="s">
        <v>275</v>
      </c>
      <c r="C27" s="6" t="n">
        <v>0.06</v>
      </c>
      <c r="D27" s="6" t="e">
        <f aca="false">#REF!</f>
        <v>#REF!</v>
      </c>
      <c r="E27" s="7" t="e">
        <f aca="false">D27*C27</f>
        <v>#REF!</v>
      </c>
      <c r="F27" s="15" t="e">
        <f aca="false">SUM(E27:E34)</f>
        <v>#REF!</v>
      </c>
      <c r="G27" s="26" t="n">
        <v>1200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21" t="s">
        <v>276</v>
      </c>
      <c r="C28" s="6" t="n">
        <v>0.06</v>
      </c>
      <c r="D28" s="6" t="e">
        <f aca="false">#REF!</f>
        <v>#REF!</v>
      </c>
      <c r="E28" s="7" t="e">
        <f aca="false">D28*C28</f>
        <v>#REF!</v>
      </c>
      <c r="F28" s="15"/>
      <c r="G28" s="15"/>
      <c r="H28" s="15"/>
    </row>
    <row r="29" customFormat="false" ht="15.75" hidden="false" customHeight="false" outlineLevel="0" collapsed="false">
      <c r="A29" s="4"/>
      <c r="B29" s="21" t="s">
        <v>277</v>
      </c>
      <c r="C29" s="6" t="n">
        <v>0.032</v>
      </c>
      <c r="D29" s="6" t="e">
        <f aca="false">#REF!</f>
        <v>#REF!</v>
      </c>
      <c r="E29" s="7" t="e">
        <f aca="false">D29*C29</f>
        <v>#REF!</v>
      </c>
      <c r="F29" s="15"/>
      <c r="G29" s="15"/>
      <c r="H29" s="15"/>
    </row>
    <row r="30" customFormat="false" ht="15.75" hidden="false" customHeight="false" outlineLevel="0" collapsed="false">
      <c r="A30" s="4"/>
      <c r="B30" s="21" t="s">
        <v>278</v>
      </c>
      <c r="C30" s="6" t="n">
        <v>0.008</v>
      </c>
      <c r="D30" s="6" t="e">
        <f aca="false">#REF!</f>
        <v>#REF!</v>
      </c>
      <c r="E30" s="7" t="e">
        <f aca="false">D30*C30</f>
        <v>#REF!</v>
      </c>
      <c r="F30" s="15"/>
      <c r="G30" s="15"/>
      <c r="H30" s="15"/>
    </row>
    <row r="31" customFormat="false" ht="15.75" hidden="false" customHeight="false" outlineLevel="0" collapsed="false">
      <c r="A31" s="4"/>
      <c r="B31" s="21"/>
      <c r="C31" s="6"/>
      <c r="D31" s="6"/>
      <c r="E31" s="7" t="n">
        <f aca="false">D31*C31</f>
        <v>0</v>
      </c>
      <c r="F31" s="15"/>
      <c r="G31" s="15"/>
      <c r="H31" s="15"/>
    </row>
    <row r="32" customFormat="false" ht="15.75" hidden="false" customHeight="false" outlineLevel="0" collapsed="false">
      <c r="A32" s="4"/>
      <c r="B32" s="21"/>
      <c r="C32" s="6"/>
      <c r="D32" s="6"/>
      <c r="E32" s="7" t="n">
        <f aca="false">D32*C32</f>
        <v>0</v>
      </c>
      <c r="F32" s="15"/>
      <c r="G32" s="15"/>
      <c r="H32" s="15"/>
    </row>
    <row r="33" customFormat="false" ht="15.75" hidden="false" customHeight="false" outlineLevel="0" collapsed="false">
      <c r="A33" s="4"/>
      <c r="B33" s="21"/>
      <c r="C33" s="6"/>
      <c r="D33" s="6"/>
      <c r="E33" s="7" t="n">
        <f aca="false">D33*C33</f>
        <v>0</v>
      </c>
      <c r="F33" s="15"/>
      <c r="G33" s="15"/>
      <c r="H33" s="15"/>
    </row>
    <row r="34" customFormat="false" ht="15.75" hidden="false" customHeight="false" outlineLevel="0" collapsed="false">
      <c r="A34" s="4"/>
      <c r="B34" s="21"/>
      <c r="C34" s="6"/>
      <c r="D34" s="6"/>
      <c r="E34" s="7" t="n">
        <f aca="false">D34*C34</f>
        <v>0</v>
      </c>
      <c r="F34" s="15"/>
      <c r="G34" s="26"/>
      <c r="H34" s="9"/>
    </row>
    <row r="35" customFormat="false" ht="15.75" hidden="false" customHeight="false" outlineLevel="0" collapsed="false">
      <c r="A35" s="4"/>
      <c r="B35" s="6"/>
      <c r="C35" s="6"/>
      <c r="D35" s="6"/>
      <c r="E35" s="7" t="n">
        <f aca="false">D35*C35</f>
        <v>0</v>
      </c>
      <c r="F35" s="15" t="n">
        <f aca="false">SUM(E35:E42)</f>
        <v>0</v>
      </c>
      <c r="G35" s="26"/>
      <c r="H35" s="9" t="e">
        <f aca="false">(G35-F35)/F35*100</f>
        <v>#DIV/0!</v>
      </c>
    </row>
    <row r="36" customFormat="false" ht="15.75" hidden="false" customHeight="false" outlineLevel="0" collapsed="false">
      <c r="A36" s="4"/>
      <c r="B36" s="21"/>
      <c r="C36" s="6"/>
      <c r="D36" s="6"/>
      <c r="E36" s="7" t="n">
        <f aca="false">D36*C36</f>
        <v>0</v>
      </c>
      <c r="F36" s="15"/>
      <c r="G36" s="15"/>
      <c r="H36" s="15"/>
    </row>
    <row r="37" customFormat="false" ht="15.75" hidden="false" customHeight="false" outlineLevel="0" collapsed="false">
      <c r="A37" s="4"/>
      <c r="B37" s="21"/>
      <c r="C37" s="6"/>
      <c r="D37" s="6"/>
      <c r="E37" s="7" t="n">
        <f aca="false">D37*C37</f>
        <v>0</v>
      </c>
      <c r="F37" s="15"/>
      <c r="G37" s="15"/>
      <c r="H37" s="15"/>
    </row>
    <row r="38" customFormat="false" ht="15.75" hidden="false" customHeight="false" outlineLevel="0" collapsed="false">
      <c r="A38" s="4"/>
      <c r="B38" s="21"/>
      <c r="C38" s="6"/>
      <c r="D38" s="6"/>
      <c r="E38" s="7" t="n">
        <f aca="false">D38*C38</f>
        <v>0</v>
      </c>
      <c r="F38" s="15"/>
      <c r="G38" s="15"/>
      <c r="H38" s="15"/>
    </row>
    <row r="39" customFormat="false" ht="15.75" hidden="false" customHeight="false" outlineLevel="0" collapsed="false">
      <c r="A39" s="4"/>
      <c r="B39" s="21"/>
      <c r="C39" s="6"/>
      <c r="D39" s="6"/>
      <c r="E39" s="7" t="n">
        <f aca="false">D39*C39</f>
        <v>0</v>
      </c>
      <c r="F39" s="15"/>
      <c r="G39" s="15"/>
      <c r="H39" s="15"/>
    </row>
    <row r="40" customFormat="false" ht="15.75" hidden="false" customHeight="false" outlineLevel="0" collapsed="false">
      <c r="A40" s="4"/>
      <c r="B40" s="21"/>
      <c r="C40" s="6"/>
      <c r="D40" s="6"/>
      <c r="E40" s="7" t="n">
        <f aca="false">D40*C40</f>
        <v>0</v>
      </c>
      <c r="F40" s="15"/>
      <c r="G40" s="15"/>
      <c r="H40" s="15"/>
    </row>
    <row r="41" customFormat="false" ht="15.75" hidden="false" customHeight="false" outlineLevel="0" collapsed="false">
      <c r="A41" s="4"/>
      <c r="B41" s="21"/>
      <c r="C41" s="6"/>
      <c r="D41" s="6"/>
      <c r="E41" s="7" t="n">
        <f aca="false">D41*C41</f>
        <v>0</v>
      </c>
      <c r="F41" s="15"/>
      <c r="G41" s="15"/>
      <c r="H41" s="15"/>
    </row>
    <row r="42" customFormat="false" ht="15.75" hidden="false" customHeight="false" outlineLevel="0" collapsed="false">
      <c r="A42" s="4"/>
      <c r="B42" s="28"/>
      <c r="C42" s="6"/>
      <c r="D42" s="6"/>
      <c r="E42" s="7" t="n">
        <f aca="false">D42*C42</f>
        <v>0</v>
      </c>
      <c r="F42" s="15"/>
      <c r="G42" s="26"/>
      <c r="H42" s="9"/>
    </row>
    <row r="43" customFormat="false" ht="15.75" hidden="false" customHeight="false" outlineLevel="0" collapsed="false">
      <c r="A43" s="4"/>
      <c r="B43" s="6"/>
      <c r="C43" s="6"/>
      <c r="D43" s="6"/>
      <c r="E43" s="7" t="n">
        <f aca="false">D43*C43</f>
        <v>0</v>
      </c>
      <c r="F43" s="15" t="n">
        <f aca="false">SUM(E43:E50)</f>
        <v>0</v>
      </c>
      <c r="G43" s="26"/>
      <c r="H43" s="9" t="e">
        <f aca="false">(G43-F43)/F43*100</f>
        <v>#DIV/0!</v>
      </c>
    </row>
    <row r="44" customFormat="false" ht="15.75" hidden="false" customHeight="false" outlineLevel="0" collapsed="false">
      <c r="A44" s="4"/>
      <c r="B44" s="21"/>
      <c r="C44" s="6"/>
      <c r="D44" s="6"/>
      <c r="E44" s="7" t="n">
        <f aca="false">D44*C44</f>
        <v>0</v>
      </c>
      <c r="F44" s="15"/>
      <c r="G44" s="15"/>
      <c r="H44" s="15"/>
    </row>
    <row r="45" customFormat="false" ht="15.75" hidden="false" customHeight="false" outlineLevel="0" collapsed="false">
      <c r="A45" s="4"/>
      <c r="B45" s="21"/>
      <c r="C45" s="6"/>
      <c r="D45" s="6"/>
      <c r="E45" s="7" t="n">
        <f aca="false">D45*C45</f>
        <v>0</v>
      </c>
      <c r="F45" s="15"/>
      <c r="G45" s="15"/>
      <c r="H45" s="15"/>
    </row>
    <row r="46" customFormat="false" ht="15.75" hidden="false" customHeight="false" outlineLevel="0" collapsed="false">
      <c r="A46" s="4"/>
      <c r="B46" s="21"/>
      <c r="C46" s="6"/>
      <c r="D46" s="6"/>
      <c r="E46" s="7" t="n">
        <f aca="false">D46*C46</f>
        <v>0</v>
      </c>
      <c r="F46" s="15"/>
      <c r="G46" s="15"/>
      <c r="H46" s="15"/>
    </row>
    <row r="47" customFormat="false" ht="15.75" hidden="false" customHeight="false" outlineLevel="0" collapsed="false">
      <c r="A47" s="4"/>
      <c r="B47" s="28"/>
      <c r="C47" s="6"/>
      <c r="D47" s="6"/>
      <c r="E47" s="7" t="n">
        <f aca="false">D47*C47</f>
        <v>0</v>
      </c>
      <c r="F47" s="15"/>
      <c r="G47" s="15"/>
      <c r="H47" s="15"/>
    </row>
    <row r="48" customFormat="false" ht="15.75" hidden="false" customHeight="false" outlineLevel="0" collapsed="false">
      <c r="A48" s="4"/>
      <c r="B48" s="28"/>
      <c r="C48" s="6"/>
      <c r="D48" s="6"/>
      <c r="E48" s="7" t="n">
        <f aca="false">D48*C48</f>
        <v>0</v>
      </c>
      <c r="F48" s="15"/>
      <c r="G48" s="15"/>
      <c r="H48" s="15"/>
    </row>
    <row r="49" customFormat="false" ht="15.75" hidden="false" customHeight="false" outlineLevel="0" collapsed="false">
      <c r="A49" s="4"/>
      <c r="B49" s="28"/>
      <c r="C49" s="6"/>
      <c r="D49" s="6"/>
      <c r="E49" s="7" t="n">
        <f aca="false">D49*C49</f>
        <v>0</v>
      </c>
      <c r="F49" s="15"/>
      <c r="G49" s="15"/>
      <c r="H49" s="15"/>
    </row>
    <row r="50" customFormat="false" ht="15.75" hidden="false" customHeight="false" outlineLevel="0" collapsed="false">
      <c r="A50" s="4"/>
      <c r="B50" s="28"/>
      <c r="C50" s="6"/>
      <c r="D50" s="6"/>
      <c r="E50" s="7" t="n">
        <f aca="false">D50*C50</f>
        <v>0</v>
      </c>
      <c r="F50" s="15"/>
      <c r="G50" s="26"/>
      <c r="H50" s="9"/>
    </row>
    <row r="51" customFormat="false" ht="15.75" hidden="false" customHeight="false" outlineLevel="0" collapsed="false">
      <c r="A51" s="4"/>
      <c r="B51" s="34"/>
      <c r="C51" s="6"/>
      <c r="D51" s="6"/>
      <c r="E51" s="7" t="n">
        <f aca="false">D51*C51</f>
        <v>0</v>
      </c>
      <c r="F51" s="15" t="n">
        <f aca="false">SUM(E51:E58)</f>
        <v>0</v>
      </c>
      <c r="G51" s="26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15"/>
      <c r="G52" s="15"/>
      <c r="H52" s="15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15"/>
      <c r="G53" s="15"/>
      <c r="H53" s="15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15"/>
      <c r="G54" s="15"/>
      <c r="H54" s="15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15"/>
      <c r="G55" s="15"/>
      <c r="H55" s="15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15"/>
      <c r="G56" s="15"/>
      <c r="H56" s="15"/>
    </row>
    <row r="57" customFormat="false" ht="15.75" hidden="false" customHeight="false" outlineLevel="0" collapsed="false">
      <c r="A57" s="4"/>
      <c r="B57" s="28"/>
      <c r="C57" s="6"/>
      <c r="D57" s="6"/>
      <c r="E57" s="7" t="n">
        <f aca="false">D57*C57</f>
        <v>0</v>
      </c>
      <c r="F57" s="15"/>
      <c r="G57" s="15"/>
      <c r="H57" s="15"/>
    </row>
    <row r="58" customFormat="false" ht="15.75" hidden="false" customHeight="false" outlineLevel="0" collapsed="false">
      <c r="A58" s="4"/>
      <c r="B58" s="28"/>
      <c r="C58" s="6"/>
      <c r="D58" s="6"/>
      <c r="E58" s="7" t="n">
        <f aca="false">D58*C58</f>
        <v>0</v>
      </c>
      <c r="F58" s="15"/>
      <c r="G58" s="26"/>
      <c r="H58" s="9"/>
    </row>
    <row r="59" customFormat="false" ht="15.75" hidden="false" customHeight="false" outlineLevel="0" collapsed="false">
      <c r="A59" s="4"/>
      <c r="B59" s="6"/>
      <c r="C59" s="6"/>
      <c r="D59" s="6"/>
      <c r="E59" s="7" t="n">
        <f aca="false">D59*C59</f>
        <v>0</v>
      </c>
      <c r="F59" s="15" t="n">
        <f aca="false">SUM(E59:E66)</f>
        <v>0</v>
      </c>
      <c r="G59" s="26"/>
      <c r="H59" s="9" t="e">
        <f aca="false">(G59-F59)/F59*100</f>
        <v>#DIV/0!</v>
      </c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15"/>
      <c r="G60" s="15"/>
      <c r="H60" s="15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15"/>
      <c r="G61" s="15"/>
      <c r="H61" s="15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15"/>
      <c r="G62" s="15"/>
      <c r="H62" s="15"/>
    </row>
    <row r="63" customFormat="false" ht="15.75" hidden="false" customHeight="false" outlineLevel="0" collapsed="false">
      <c r="A63" s="4"/>
      <c r="B63" s="28"/>
      <c r="C63" s="6"/>
      <c r="D63" s="6"/>
      <c r="E63" s="7" t="n">
        <f aca="false">D63*C63</f>
        <v>0</v>
      </c>
      <c r="F63" s="15"/>
      <c r="G63" s="15"/>
      <c r="H63" s="15"/>
    </row>
    <row r="64" customFormat="false" ht="15.75" hidden="false" customHeight="false" outlineLevel="0" collapsed="false">
      <c r="A64" s="4"/>
      <c r="B64" s="28"/>
      <c r="C64" s="6"/>
      <c r="D64" s="6"/>
      <c r="E64" s="7" t="n">
        <f aca="false">D64*C64</f>
        <v>0</v>
      </c>
      <c r="F64" s="15"/>
      <c r="G64" s="15"/>
      <c r="H64" s="15"/>
    </row>
    <row r="65" customFormat="false" ht="15.75" hidden="false" customHeight="false" outlineLevel="0" collapsed="false">
      <c r="A65" s="4"/>
      <c r="B65" s="28"/>
      <c r="C65" s="6"/>
      <c r="D65" s="6"/>
      <c r="E65" s="7" t="n">
        <f aca="false">D65*C65</f>
        <v>0</v>
      </c>
      <c r="F65" s="15"/>
      <c r="G65" s="15"/>
      <c r="H65" s="15"/>
    </row>
    <row r="66" customFormat="false" ht="15.75" hidden="false" customHeight="false" outlineLevel="0" collapsed="false">
      <c r="A66" s="4"/>
      <c r="B66" s="28"/>
      <c r="C66" s="6"/>
      <c r="D66" s="6"/>
      <c r="E66" s="7" t="n">
        <f aca="false">D66*C66</f>
        <v>0</v>
      </c>
      <c r="F66" s="15"/>
      <c r="G66" s="26"/>
      <c r="H66" s="9"/>
    </row>
    <row r="67" customFormat="false" ht="15.75" hidden="false" customHeight="false" outlineLevel="0" collapsed="false">
      <c r="A67" s="10"/>
      <c r="B67" s="11"/>
      <c r="C67" s="12"/>
      <c r="D67" s="12"/>
      <c r="E67" s="12"/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12"/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12"/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12"/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12"/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12"/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12"/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12"/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12"/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A97" s="10"/>
      <c r="B97" s="11"/>
      <c r="C97" s="12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false" outlineLevel="0" collapsed="false">
      <c r="A98" s="10"/>
      <c r="B98" s="11"/>
      <c r="C98" s="12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false" outlineLevel="0" collapsed="false">
      <c r="A99" s="10"/>
      <c r="B99" s="11"/>
      <c r="C99" s="12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false" outlineLevel="0" collapsed="false">
      <c r="A100" s="10"/>
      <c r="B100" s="11"/>
      <c r="C100" s="12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B991" s="13"/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B992" s="13"/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B993" s="13"/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B994" s="13"/>
    </row>
  </sheetData>
  <mergeCells count="32">
    <mergeCell ref="A2:A9"/>
    <mergeCell ref="F2:F9"/>
    <mergeCell ref="G2:G9"/>
    <mergeCell ref="H2:H9"/>
    <mergeCell ref="A10:A17"/>
    <mergeCell ref="F10:F17"/>
    <mergeCell ref="G10:G17"/>
    <mergeCell ref="H10:H17"/>
    <mergeCell ref="A18:A26"/>
    <mergeCell ref="F18:F26"/>
    <mergeCell ref="G18:G26"/>
    <mergeCell ref="H18:H26"/>
    <mergeCell ref="A27:A34"/>
    <mergeCell ref="F27:F34"/>
    <mergeCell ref="G27:G34"/>
    <mergeCell ref="H27:H34"/>
    <mergeCell ref="A35:A42"/>
    <mergeCell ref="F35:F42"/>
    <mergeCell ref="G35:G42"/>
    <mergeCell ref="H35:H42"/>
    <mergeCell ref="A43:A50"/>
    <mergeCell ref="F43:F50"/>
    <mergeCell ref="G43:G50"/>
    <mergeCell ref="H43:H50"/>
    <mergeCell ref="A51:A58"/>
    <mergeCell ref="F51:F58"/>
    <mergeCell ref="G51:G58"/>
    <mergeCell ref="H51:H58"/>
    <mergeCell ref="A59:A66"/>
    <mergeCell ref="F59:F66"/>
    <mergeCell ref="G59:G66"/>
    <mergeCell ref="H59:H66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true" outlineLevel="0" collapsed="false">
      <c r="A2" s="22" t="s">
        <v>279</v>
      </c>
      <c r="B2" s="5" t="s">
        <v>280</v>
      </c>
      <c r="C2" s="6" t="n">
        <v>0.03</v>
      </c>
      <c r="D2" s="6" t="e">
        <f aca="false">#REF!</f>
        <v>#REF!</v>
      </c>
      <c r="E2" s="7" t="e">
        <f aca="false">D2*C2</f>
        <v>#REF!</v>
      </c>
      <c r="F2" s="15" t="e">
        <f aca="false">SUM(E2:E9)</f>
        <v>#REF!</v>
      </c>
      <c r="G2" s="26" t="n">
        <v>800</v>
      </c>
      <c r="H2" s="9" t="e">
        <f aca="false">(G2-F2)/F2*100</f>
        <v>#REF!</v>
      </c>
    </row>
    <row r="3" customFormat="false" ht="15.75" hidden="false" customHeight="false" outlineLevel="0" collapsed="false">
      <c r="A3" s="22"/>
      <c r="B3" s="5" t="s">
        <v>281</v>
      </c>
      <c r="C3" s="6" t="n">
        <v>0.015</v>
      </c>
      <c r="D3" s="6" t="e">
        <f aca="false">#REF!</f>
        <v>#REF!</v>
      </c>
      <c r="E3" s="7" t="e">
        <f aca="false">D3*C3</f>
        <v>#REF!</v>
      </c>
      <c r="F3" s="15"/>
      <c r="G3" s="15"/>
      <c r="H3" s="15"/>
    </row>
    <row r="4" customFormat="false" ht="15.75" hidden="false" customHeight="false" outlineLevel="0" collapsed="false">
      <c r="A4" s="22"/>
      <c r="B4" s="5" t="s">
        <v>282</v>
      </c>
      <c r="C4" s="6" t="n">
        <v>0.15</v>
      </c>
      <c r="D4" s="6" t="e">
        <f aca="false">#REF!</f>
        <v>#REF!</v>
      </c>
      <c r="E4" s="7" t="e">
        <f aca="false">D4*C4</f>
        <v>#REF!</v>
      </c>
      <c r="F4" s="15"/>
      <c r="G4" s="15"/>
      <c r="H4" s="15"/>
    </row>
    <row r="5" customFormat="false" ht="15.75" hidden="false" customHeight="false" outlineLevel="0" collapsed="false">
      <c r="A5" s="22"/>
      <c r="B5" s="5" t="s">
        <v>89</v>
      </c>
      <c r="C5" s="6"/>
      <c r="D5" s="6"/>
      <c r="E5" s="7" t="n">
        <v>10</v>
      </c>
      <c r="F5" s="15"/>
      <c r="G5" s="15"/>
      <c r="H5" s="15"/>
    </row>
    <row r="6" customFormat="false" ht="15.75" hidden="false" customHeight="false" outlineLevel="0" collapsed="false">
      <c r="A6" s="22"/>
      <c r="B6" s="5"/>
      <c r="C6" s="6"/>
      <c r="D6" s="6"/>
      <c r="E6" s="7" t="n">
        <f aca="false">D6*C6</f>
        <v>0</v>
      </c>
      <c r="F6" s="15"/>
      <c r="G6" s="15"/>
      <c r="H6" s="15"/>
    </row>
    <row r="7" customFormat="false" ht="15.75" hidden="false" customHeight="false" outlineLevel="0" collapsed="false">
      <c r="A7" s="22"/>
      <c r="B7" s="5"/>
      <c r="C7" s="6"/>
      <c r="D7" s="6"/>
      <c r="E7" s="7" t="n">
        <f aca="false">D7*C7</f>
        <v>0</v>
      </c>
      <c r="F7" s="15"/>
      <c r="G7" s="15"/>
      <c r="H7" s="15"/>
    </row>
    <row r="8" customFormat="false" ht="15.75" hidden="false" customHeight="false" outlineLevel="0" collapsed="false">
      <c r="A8" s="22"/>
      <c r="B8" s="5"/>
      <c r="C8" s="6"/>
      <c r="D8" s="6"/>
      <c r="E8" s="7" t="n">
        <f aca="false">D8*C8</f>
        <v>0</v>
      </c>
      <c r="F8" s="15"/>
      <c r="G8" s="15"/>
      <c r="H8" s="15"/>
    </row>
    <row r="9" customFormat="false" ht="15.75" hidden="false" customHeight="false" outlineLevel="0" collapsed="false">
      <c r="A9" s="22"/>
      <c r="B9" s="28"/>
      <c r="C9" s="6"/>
      <c r="D9" s="6"/>
      <c r="E9" s="7" t="n">
        <f aca="false">D9*C9</f>
        <v>0</v>
      </c>
      <c r="F9" s="15"/>
      <c r="G9" s="26"/>
      <c r="H9" s="9"/>
    </row>
    <row r="10" customFormat="false" ht="15.75" hidden="false" customHeight="true" outlineLevel="0" collapsed="false">
      <c r="A10" s="22" t="s">
        <v>283</v>
      </c>
      <c r="B10" s="5" t="s">
        <v>70</v>
      </c>
      <c r="C10" s="6" t="n">
        <v>0.04</v>
      </c>
      <c r="D10" s="6" t="e">
        <f aca="false">#REF!</f>
        <v>#REF!</v>
      </c>
      <c r="E10" s="7" t="e">
        <f aca="false">D10*C10</f>
        <v>#REF!</v>
      </c>
      <c r="F10" s="15" t="e">
        <f aca="false">SUM(E10:E17)</f>
        <v>#REF!</v>
      </c>
      <c r="G10" s="26" t="n">
        <v>600</v>
      </c>
      <c r="H10" s="9" t="e">
        <f aca="false">(G10-F10)/F10*100</f>
        <v>#REF!</v>
      </c>
    </row>
    <row r="11" customFormat="false" ht="15.75" hidden="false" customHeight="false" outlineLevel="0" collapsed="false">
      <c r="A11" s="22"/>
      <c r="B11" s="5" t="s">
        <v>284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15"/>
      <c r="G11" s="15"/>
      <c r="H11" s="15"/>
    </row>
    <row r="12" customFormat="false" ht="15.75" hidden="false" customHeight="false" outlineLevel="0" collapsed="false">
      <c r="A12" s="22"/>
      <c r="B12" s="5" t="s">
        <v>285</v>
      </c>
      <c r="C12" s="6" t="n">
        <v>0.1</v>
      </c>
      <c r="D12" s="6" t="e">
        <f aca="false">#REF!</f>
        <v>#REF!</v>
      </c>
      <c r="E12" s="7" t="e">
        <f aca="false">D12*C12</f>
        <v>#REF!</v>
      </c>
      <c r="F12" s="15"/>
      <c r="G12" s="15"/>
      <c r="H12" s="15"/>
    </row>
    <row r="13" customFormat="false" ht="15.75" hidden="false" customHeight="false" outlineLevel="0" collapsed="false">
      <c r="A13" s="22"/>
      <c r="B13" s="5" t="s">
        <v>286</v>
      </c>
      <c r="C13" s="6" t="n">
        <v>0.015</v>
      </c>
      <c r="D13" s="6" t="e">
        <f aca="false">#REF!</f>
        <v>#REF!</v>
      </c>
      <c r="E13" s="7" t="e">
        <f aca="false">D13*C13</f>
        <v>#REF!</v>
      </c>
      <c r="F13" s="15"/>
      <c r="G13" s="15"/>
      <c r="H13" s="15"/>
    </row>
    <row r="14" customFormat="false" ht="15.75" hidden="false" customHeight="false" outlineLevel="0" collapsed="false">
      <c r="A14" s="22"/>
      <c r="B14" s="5" t="s">
        <v>37</v>
      </c>
      <c r="C14" s="6"/>
      <c r="D14" s="6"/>
      <c r="E14" s="7" t="n">
        <v>10</v>
      </c>
      <c r="F14" s="15"/>
      <c r="G14" s="15"/>
      <c r="H14" s="15"/>
    </row>
    <row r="15" customFormat="false" ht="15.75" hidden="false" customHeight="false" outlineLevel="0" collapsed="false">
      <c r="A15" s="22"/>
      <c r="B15" s="21"/>
      <c r="C15" s="6"/>
      <c r="D15" s="6"/>
      <c r="E15" s="7" t="n">
        <f aca="false">D15*C15</f>
        <v>0</v>
      </c>
      <c r="F15" s="15"/>
      <c r="G15" s="15"/>
      <c r="H15" s="15"/>
    </row>
    <row r="16" customFormat="false" ht="15.75" hidden="false" customHeight="false" outlineLevel="0" collapsed="false">
      <c r="A16" s="22"/>
      <c r="B16" s="21"/>
      <c r="C16" s="6"/>
      <c r="D16" s="6"/>
      <c r="E16" s="7" t="n">
        <f aca="false">D16*C16</f>
        <v>0</v>
      </c>
      <c r="F16" s="15"/>
      <c r="G16" s="15"/>
      <c r="H16" s="15"/>
    </row>
    <row r="17" customFormat="false" ht="15.75" hidden="false" customHeight="false" outlineLevel="0" collapsed="false">
      <c r="A17" s="22"/>
      <c r="B17" s="21"/>
      <c r="C17" s="6"/>
      <c r="D17" s="6"/>
      <c r="E17" s="7" t="n">
        <f aca="false">D17*C17</f>
        <v>0</v>
      </c>
      <c r="F17" s="15"/>
      <c r="G17" s="26"/>
      <c r="H17" s="9"/>
    </row>
    <row r="18" customFormat="false" ht="15.75" hidden="false" customHeight="true" outlineLevel="0" collapsed="false">
      <c r="A18" s="22" t="s">
        <v>287</v>
      </c>
      <c r="B18" s="6" t="s">
        <v>97</v>
      </c>
      <c r="C18" s="6" t="n">
        <v>0.04</v>
      </c>
      <c r="D18" s="6" t="e">
        <f aca="false">#REF!</f>
        <v>#REF!</v>
      </c>
      <c r="E18" s="7" t="e">
        <f aca="false">D18*C18</f>
        <v>#REF!</v>
      </c>
      <c r="F18" s="15" t="e">
        <f aca="false">SUM(E18:E26)</f>
        <v>#REF!</v>
      </c>
      <c r="G18" s="26" t="n">
        <v>700</v>
      </c>
      <c r="H18" s="9" t="e">
        <f aca="false">(G18-F18)/F18*100</f>
        <v>#REF!</v>
      </c>
    </row>
    <row r="19" customFormat="false" ht="15.75" hidden="false" customHeight="false" outlineLevel="0" collapsed="false">
      <c r="A19" s="22"/>
      <c r="B19" s="5" t="s">
        <v>39</v>
      </c>
      <c r="C19" s="6" t="n">
        <v>0.02</v>
      </c>
      <c r="D19" s="6" t="e">
        <f aca="false">#REF!</f>
        <v>#REF!</v>
      </c>
      <c r="E19" s="7" t="e">
        <f aca="false">D19*C19</f>
        <v>#REF!</v>
      </c>
      <c r="F19" s="15"/>
      <c r="G19" s="15"/>
      <c r="H19" s="15"/>
    </row>
    <row r="20" customFormat="false" ht="15.75" hidden="false" customHeight="false" outlineLevel="0" collapsed="false">
      <c r="A20" s="22"/>
      <c r="B20" s="5" t="s">
        <v>288</v>
      </c>
      <c r="C20" s="6" t="n">
        <v>0.01</v>
      </c>
      <c r="D20" s="7" t="e">
        <f aca="false">#REF!</f>
        <v>#REF!</v>
      </c>
      <c r="E20" s="7" t="e">
        <f aca="false">D20*C20</f>
        <v>#REF!</v>
      </c>
      <c r="F20" s="15"/>
      <c r="G20" s="15"/>
      <c r="H20" s="15"/>
    </row>
    <row r="21" customFormat="false" ht="15.75" hidden="false" customHeight="false" outlineLevel="0" collapsed="false">
      <c r="A21" s="22"/>
      <c r="B21" s="5" t="s">
        <v>289</v>
      </c>
      <c r="C21" s="6" t="n">
        <v>0.06</v>
      </c>
      <c r="D21" s="6" t="e">
        <f aca="false">#REF!</f>
        <v>#REF!</v>
      </c>
      <c r="E21" s="7" t="e">
        <f aca="false">D21*C21</f>
        <v>#REF!</v>
      </c>
      <c r="F21" s="15"/>
      <c r="G21" s="15"/>
      <c r="H21" s="15"/>
    </row>
    <row r="22" customFormat="false" ht="15.75" hidden="false" customHeight="false" outlineLevel="0" collapsed="false">
      <c r="A22" s="22"/>
      <c r="B22" s="5" t="s">
        <v>88</v>
      </c>
      <c r="C22" s="6" t="n">
        <v>0.05</v>
      </c>
      <c r="D22" s="6" t="e">
        <f aca="false">#REF!</f>
        <v>#REF!</v>
      </c>
      <c r="E22" s="7" t="e">
        <f aca="false">D22*C22</f>
        <v>#REF!</v>
      </c>
      <c r="F22" s="15"/>
      <c r="G22" s="15"/>
      <c r="H22" s="15"/>
    </row>
    <row r="23" customFormat="false" ht="15.75" hidden="false" customHeight="false" outlineLevel="0" collapsed="false">
      <c r="A23" s="22"/>
      <c r="B23" s="5" t="s">
        <v>290</v>
      </c>
      <c r="C23" s="6" t="n">
        <v>0.02</v>
      </c>
      <c r="D23" s="6" t="e">
        <f aca="false">#REF!</f>
        <v>#REF!</v>
      </c>
      <c r="E23" s="7" t="e">
        <f aca="false">D23*C23</f>
        <v>#REF!</v>
      </c>
      <c r="F23" s="15"/>
      <c r="G23" s="15"/>
      <c r="H23" s="15"/>
    </row>
    <row r="24" customFormat="false" ht="15.75" hidden="false" customHeight="false" outlineLevel="0" collapsed="false">
      <c r="A24" s="22"/>
      <c r="B24" s="21"/>
      <c r="C24" s="6"/>
      <c r="D24" s="6"/>
      <c r="E24" s="7" t="n">
        <f aca="false">D24*C24</f>
        <v>0</v>
      </c>
      <c r="F24" s="15"/>
      <c r="G24" s="15"/>
      <c r="H24" s="15"/>
    </row>
    <row r="25" customFormat="false" ht="15.75" hidden="false" customHeight="false" outlineLevel="0" collapsed="false">
      <c r="A25" s="22"/>
      <c r="B25" s="21"/>
      <c r="C25" s="6"/>
      <c r="D25" s="6"/>
      <c r="E25" s="7" t="n">
        <f aca="false">D25*C25</f>
        <v>0</v>
      </c>
      <c r="F25" s="15"/>
      <c r="G25" s="15"/>
      <c r="H25" s="15"/>
    </row>
    <row r="26" customFormat="false" ht="15.75" hidden="false" customHeight="false" outlineLevel="0" collapsed="false">
      <c r="A26" s="22"/>
      <c r="B26" s="21"/>
      <c r="C26" s="6"/>
      <c r="D26" s="6"/>
      <c r="E26" s="7" t="n">
        <f aca="false">D26*C26</f>
        <v>0</v>
      </c>
      <c r="F26" s="15"/>
      <c r="G26" s="26"/>
      <c r="H26" s="9"/>
    </row>
    <row r="27" customFormat="false" ht="15.75" hidden="false" customHeight="true" outlineLevel="0" collapsed="false">
      <c r="A27" s="22" t="s">
        <v>291</v>
      </c>
      <c r="B27" s="5" t="s">
        <v>292</v>
      </c>
      <c r="C27" s="6" t="n">
        <v>0.04</v>
      </c>
      <c r="D27" s="6" t="e">
        <f aca="false">#REF!</f>
        <v>#REF!</v>
      </c>
      <c r="E27" s="7" t="e">
        <f aca="false">D27*C27</f>
        <v>#REF!</v>
      </c>
      <c r="F27" s="15" t="e">
        <f aca="false">SUM(E27:E34)</f>
        <v>#REF!</v>
      </c>
      <c r="G27" s="26" t="n">
        <v>1000</v>
      </c>
      <c r="H27" s="9" t="e">
        <f aca="false">(G27-F27)/F27*100</f>
        <v>#REF!</v>
      </c>
    </row>
    <row r="28" customFormat="false" ht="15.75" hidden="false" customHeight="false" outlineLevel="0" collapsed="false">
      <c r="A28" s="22"/>
      <c r="B28" s="5" t="s">
        <v>53</v>
      </c>
      <c r="C28" s="6" t="n">
        <v>0.08</v>
      </c>
      <c r="D28" s="6" t="e">
        <f aca="false">#REF!</f>
        <v>#REF!</v>
      </c>
      <c r="E28" s="7" t="e">
        <f aca="false">D28*C28</f>
        <v>#REF!</v>
      </c>
      <c r="F28" s="15"/>
      <c r="G28" s="15"/>
      <c r="H28" s="15"/>
    </row>
    <row r="29" customFormat="false" ht="15.75" hidden="false" customHeight="false" outlineLevel="0" collapsed="false">
      <c r="A29" s="22"/>
      <c r="B29" s="5" t="s">
        <v>293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15"/>
      <c r="G29" s="15"/>
      <c r="H29" s="15"/>
    </row>
    <row r="30" customFormat="false" ht="15.75" hidden="false" customHeight="false" outlineLevel="0" collapsed="false">
      <c r="A30" s="22"/>
      <c r="B30" s="5" t="s">
        <v>294</v>
      </c>
      <c r="C30" s="6" t="n">
        <v>0.04</v>
      </c>
      <c r="D30" s="6" t="e">
        <f aca="false">#REF!</f>
        <v>#REF!</v>
      </c>
      <c r="E30" s="7" t="e">
        <f aca="false">D30*C30</f>
        <v>#REF!</v>
      </c>
      <c r="F30" s="15"/>
      <c r="G30" s="15"/>
      <c r="H30" s="15"/>
    </row>
    <row r="31" customFormat="false" ht="15.75" hidden="false" customHeight="false" outlineLevel="0" collapsed="false">
      <c r="A31" s="22"/>
      <c r="B31" s="21"/>
      <c r="C31" s="6"/>
      <c r="D31" s="6"/>
      <c r="E31" s="7" t="n">
        <f aca="false">D31*C31</f>
        <v>0</v>
      </c>
      <c r="F31" s="15"/>
      <c r="G31" s="15"/>
      <c r="H31" s="15"/>
    </row>
    <row r="32" customFormat="false" ht="15.75" hidden="false" customHeight="false" outlineLevel="0" collapsed="false">
      <c r="A32" s="22"/>
      <c r="B32" s="21"/>
      <c r="C32" s="6"/>
      <c r="D32" s="6"/>
      <c r="E32" s="7" t="n">
        <f aca="false">D32*C32</f>
        <v>0</v>
      </c>
      <c r="F32" s="15"/>
      <c r="G32" s="15"/>
      <c r="H32" s="15"/>
    </row>
    <row r="33" customFormat="false" ht="15.75" hidden="false" customHeight="false" outlineLevel="0" collapsed="false">
      <c r="A33" s="22"/>
      <c r="B33" s="21"/>
      <c r="C33" s="6"/>
      <c r="D33" s="6"/>
      <c r="E33" s="7" t="n">
        <f aca="false">D33*C33</f>
        <v>0</v>
      </c>
      <c r="F33" s="15"/>
      <c r="G33" s="15"/>
      <c r="H33" s="15"/>
    </row>
    <row r="34" customFormat="false" ht="15.75" hidden="false" customHeight="false" outlineLevel="0" collapsed="false">
      <c r="A34" s="22"/>
      <c r="B34" s="21"/>
      <c r="C34" s="6"/>
      <c r="D34" s="6"/>
      <c r="E34" s="7" t="n">
        <f aca="false">D34*C34</f>
        <v>0</v>
      </c>
      <c r="F34" s="15"/>
      <c r="G34" s="26"/>
      <c r="H34" s="9"/>
    </row>
    <row r="35" customFormat="false" ht="15.75" hidden="false" customHeight="false" outlineLevel="0" collapsed="false">
      <c r="A35" s="4"/>
      <c r="B35" s="6"/>
      <c r="C35" s="6"/>
      <c r="D35" s="6"/>
      <c r="E35" s="7" t="n">
        <f aca="false">D35*C35</f>
        <v>0</v>
      </c>
      <c r="F35" s="15" t="n">
        <f aca="false">SUM(E35:E42)</f>
        <v>0</v>
      </c>
      <c r="G35" s="26"/>
      <c r="H35" s="9" t="e">
        <f aca="false">(G35-F35)/F35*100</f>
        <v>#DIV/0!</v>
      </c>
    </row>
    <row r="36" customFormat="false" ht="15.75" hidden="false" customHeight="false" outlineLevel="0" collapsed="false">
      <c r="A36" s="4"/>
      <c r="B36" s="21"/>
      <c r="C36" s="6"/>
      <c r="D36" s="6"/>
      <c r="E36" s="7" t="n">
        <f aca="false">D36*C36</f>
        <v>0</v>
      </c>
      <c r="F36" s="15"/>
      <c r="G36" s="15"/>
      <c r="H36" s="15"/>
    </row>
    <row r="37" customFormat="false" ht="15.75" hidden="false" customHeight="false" outlineLevel="0" collapsed="false">
      <c r="A37" s="4"/>
      <c r="B37" s="21"/>
      <c r="C37" s="6"/>
      <c r="D37" s="6"/>
      <c r="E37" s="7" t="n">
        <f aca="false">D37*C37</f>
        <v>0</v>
      </c>
      <c r="F37" s="15"/>
      <c r="G37" s="15"/>
      <c r="H37" s="15"/>
    </row>
    <row r="38" customFormat="false" ht="15.75" hidden="false" customHeight="false" outlineLevel="0" collapsed="false">
      <c r="A38" s="4"/>
      <c r="B38" s="21"/>
      <c r="C38" s="6"/>
      <c r="D38" s="6"/>
      <c r="E38" s="7" t="n">
        <f aca="false">D38*C38</f>
        <v>0</v>
      </c>
      <c r="F38" s="15"/>
      <c r="G38" s="15"/>
      <c r="H38" s="15"/>
    </row>
    <row r="39" customFormat="false" ht="15.75" hidden="false" customHeight="false" outlineLevel="0" collapsed="false">
      <c r="A39" s="4"/>
      <c r="B39" s="21"/>
      <c r="C39" s="6"/>
      <c r="D39" s="6"/>
      <c r="E39" s="7" t="n">
        <f aca="false">D39*C39</f>
        <v>0</v>
      </c>
      <c r="F39" s="15"/>
      <c r="G39" s="15"/>
      <c r="H39" s="15"/>
    </row>
    <row r="40" customFormat="false" ht="15.75" hidden="false" customHeight="false" outlineLevel="0" collapsed="false">
      <c r="A40" s="4"/>
      <c r="B40" s="21"/>
      <c r="C40" s="6"/>
      <c r="D40" s="6"/>
      <c r="E40" s="7" t="n">
        <f aca="false">D40*C40</f>
        <v>0</v>
      </c>
      <c r="F40" s="15"/>
      <c r="G40" s="15"/>
      <c r="H40" s="15"/>
    </row>
    <row r="41" customFormat="false" ht="15.75" hidden="false" customHeight="false" outlineLevel="0" collapsed="false">
      <c r="A41" s="4"/>
      <c r="B41" s="21"/>
      <c r="C41" s="6"/>
      <c r="D41" s="6"/>
      <c r="E41" s="7" t="n">
        <f aca="false">D41*C41</f>
        <v>0</v>
      </c>
      <c r="F41" s="15"/>
      <c r="G41" s="15"/>
      <c r="H41" s="15"/>
    </row>
    <row r="42" customFormat="false" ht="15.75" hidden="false" customHeight="false" outlineLevel="0" collapsed="false">
      <c r="A42" s="4"/>
      <c r="B42" s="28"/>
      <c r="C42" s="6"/>
      <c r="D42" s="6"/>
      <c r="E42" s="7" t="n">
        <f aca="false">D42*C42</f>
        <v>0</v>
      </c>
      <c r="F42" s="15"/>
      <c r="G42" s="26"/>
      <c r="H42" s="9"/>
    </row>
    <row r="43" customFormat="false" ht="15.75" hidden="false" customHeight="false" outlineLevel="0" collapsed="false">
      <c r="A43" s="4"/>
      <c r="B43" s="6"/>
      <c r="C43" s="6"/>
      <c r="D43" s="6"/>
      <c r="E43" s="7" t="n">
        <f aca="false">D43*C43</f>
        <v>0</v>
      </c>
      <c r="F43" s="15" t="n">
        <f aca="false">SUM(E43:E50)</f>
        <v>0</v>
      </c>
      <c r="G43" s="26"/>
      <c r="H43" s="9" t="e">
        <f aca="false">(G43-F43)/F43*100</f>
        <v>#DIV/0!</v>
      </c>
    </row>
    <row r="44" customFormat="false" ht="15.75" hidden="false" customHeight="false" outlineLevel="0" collapsed="false">
      <c r="A44" s="4"/>
      <c r="B44" s="21"/>
      <c r="C44" s="6"/>
      <c r="D44" s="6"/>
      <c r="E44" s="7" t="n">
        <f aca="false">D44*C44</f>
        <v>0</v>
      </c>
      <c r="F44" s="15"/>
      <c r="G44" s="15"/>
      <c r="H44" s="15"/>
    </row>
    <row r="45" customFormat="false" ht="15.75" hidden="false" customHeight="false" outlineLevel="0" collapsed="false">
      <c r="A45" s="4"/>
      <c r="B45" s="21"/>
      <c r="C45" s="6"/>
      <c r="D45" s="6"/>
      <c r="E45" s="7" t="n">
        <f aca="false">D45*C45</f>
        <v>0</v>
      </c>
      <c r="F45" s="15"/>
      <c r="G45" s="15"/>
      <c r="H45" s="15"/>
    </row>
    <row r="46" customFormat="false" ht="15.75" hidden="false" customHeight="false" outlineLevel="0" collapsed="false">
      <c r="A46" s="4"/>
      <c r="B46" s="21"/>
      <c r="C46" s="6"/>
      <c r="D46" s="6"/>
      <c r="E46" s="7" t="n">
        <f aca="false">D46*C46</f>
        <v>0</v>
      </c>
      <c r="F46" s="15"/>
      <c r="G46" s="15"/>
      <c r="H46" s="15"/>
    </row>
    <row r="47" customFormat="false" ht="15.75" hidden="false" customHeight="false" outlineLevel="0" collapsed="false">
      <c r="A47" s="4"/>
      <c r="B47" s="28"/>
      <c r="C47" s="6"/>
      <c r="D47" s="6"/>
      <c r="E47" s="7" t="n">
        <f aca="false">D47*C47</f>
        <v>0</v>
      </c>
      <c r="F47" s="15"/>
      <c r="G47" s="15"/>
      <c r="H47" s="15"/>
    </row>
    <row r="48" customFormat="false" ht="15.75" hidden="false" customHeight="false" outlineLevel="0" collapsed="false">
      <c r="A48" s="4"/>
      <c r="B48" s="28"/>
      <c r="C48" s="6"/>
      <c r="D48" s="6"/>
      <c r="E48" s="7" t="n">
        <f aca="false">D48*C48</f>
        <v>0</v>
      </c>
      <c r="F48" s="15"/>
      <c r="G48" s="15"/>
      <c r="H48" s="15"/>
    </row>
    <row r="49" customFormat="false" ht="15.75" hidden="false" customHeight="false" outlineLevel="0" collapsed="false">
      <c r="A49" s="4"/>
      <c r="B49" s="28"/>
      <c r="C49" s="6"/>
      <c r="D49" s="6"/>
      <c r="E49" s="7" t="n">
        <f aca="false">D49*C49</f>
        <v>0</v>
      </c>
      <c r="F49" s="15"/>
      <c r="G49" s="15"/>
      <c r="H49" s="15"/>
    </row>
    <row r="50" customFormat="false" ht="15.75" hidden="false" customHeight="false" outlineLevel="0" collapsed="false">
      <c r="A50" s="4"/>
      <c r="B50" s="28"/>
      <c r="C50" s="6"/>
      <c r="D50" s="6"/>
      <c r="E50" s="7" t="n">
        <f aca="false">D50*C50</f>
        <v>0</v>
      </c>
      <c r="F50" s="15"/>
      <c r="G50" s="26"/>
      <c r="H50" s="9"/>
    </row>
    <row r="51" customFormat="false" ht="15.75" hidden="false" customHeight="false" outlineLevel="0" collapsed="false">
      <c r="A51" s="4"/>
      <c r="B51" s="34"/>
      <c r="C51" s="6"/>
      <c r="D51" s="6"/>
      <c r="E51" s="7" t="n">
        <f aca="false">D51*C51</f>
        <v>0</v>
      </c>
      <c r="F51" s="15" t="n">
        <f aca="false">SUM(E51:E58)</f>
        <v>0</v>
      </c>
      <c r="G51" s="26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15"/>
      <c r="G52" s="15"/>
      <c r="H52" s="15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15"/>
      <c r="G53" s="15"/>
      <c r="H53" s="15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15"/>
      <c r="G54" s="15"/>
      <c r="H54" s="15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15"/>
      <c r="G55" s="15"/>
      <c r="H55" s="15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15"/>
      <c r="G56" s="15"/>
      <c r="H56" s="15"/>
    </row>
    <row r="57" customFormat="false" ht="15.75" hidden="false" customHeight="false" outlineLevel="0" collapsed="false">
      <c r="A57" s="4"/>
      <c r="B57" s="28"/>
      <c r="C57" s="6"/>
      <c r="D57" s="6"/>
      <c r="E57" s="7" t="n">
        <f aca="false">D57*C57</f>
        <v>0</v>
      </c>
      <c r="F57" s="15"/>
      <c r="G57" s="15"/>
      <c r="H57" s="15"/>
    </row>
    <row r="58" customFormat="false" ht="15.75" hidden="false" customHeight="false" outlineLevel="0" collapsed="false">
      <c r="A58" s="4"/>
      <c r="B58" s="28"/>
      <c r="C58" s="6"/>
      <c r="D58" s="6"/>
      <c r="E58" s="7" t="n">
        <f aca="false">D58*C58</f>
        <v>0</v>
      </c>
      <c r="F58" s="15"/>
      <c r="G58" s="26"/>
      <c r="H58" s="9"/>
    </row>
    <row r="59" customFormat="false" ht="15.75" hidden="false" customHeight="false" outlineLevel="0" collapsed="false">
      <c r="A59" s="4"/>
      <c r="B59" s="6"/>
      <c r="C59" s="6"/>
      <c r="D59" s="6"/>
      <c r="E59" s="7" t="n">
        <f aca="false">D59*C59</f>
        <v>0</v>
      </c>
      <c r="F59" s="15" t="n">
        <f aca="false">SUM(E59:E66)</f>
        <v>0</v>
      </c>
      <c r="G59" s="26"/>
      <c r="H59" s="9" t="e">
        <f aca="false">(G59-F59)/F59*100</f>
        <v>#DIV/0!</v>
      </c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15"/>
      <c r="G60" s="15"/>
      <c r="H60" s="15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15"/>
      <c r="G61" s="15"/>
      <c r="H61" s="15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15"/>
      <c r="G62" s="15"/>
      <c r="H62" s="15"/>
    </row>
    <row r="63" customFormat="false" ht="15.75" hidden="false" customHeight="false" outlineLevel="0" collapsed="false">
      <c r="A63" s="4"/>
      <c r="B63" s="28"/>
      <c r="C63" s="6"/>
      <c r="D63" s="6"/>
      <c r="E63" s="7" t="n">
        <f aca="false">D63*C63</f>
        <v>0</v>
      </c>
      <c r="F63" s="15"/>
      <c r="G63" s="15"/>
      <c r="H63" s="15"/>
    </row>
    <row r="64" customFormat="false" ht="15.75" hidden="false" customHeight="false" outlineLevel="0" collapsed="false">
      <c r="A64" s="4"/>
      <c r="B64" s="28"/>
      <c r="C64" s="6"/>
      <c r="D64" s="6"/>
      <c r="E64" s="7" t="n">
        <f aca="false">D64*C64</f>
        <v>0</v>
      </c>
      <c r="F64" s="15"/>
      <c r="G64" s="15"/>
      <c r="H64" s="15"/>
    </row>
    <row r="65" customFormat="false" ht="15.75" hidden="false" customHeight="false" outlineLevel="0" collapsed="false">
      <c r="A65" s="4"/>
      <c r="B65" s="28"/>
      <c r="C65" s="6"/>
      <c r="D65" s="6"/>
      <c r="E65" s="7" t="n">
        <f aca="false">D65*C65</f>
        <v>0</v>
      </c>
      <c r="F65" s="15"/>
      <c r="G65" s="15"/>
      <c r="H65" s="15"/>
    </row>
    <row r="66" customFormat="false" ht="15.75" hidden="false" customHeight="false" outlineLevel="0" collapsed="false">
      <c r="A66" s="4"/>
      <c r="B66" s="28"/>
      <c r="C66" s="6"/>
      <c r="D66" s="6"/>
      <c r="E66" s="7" t="n">
        <f aca="false">D66*C66</f>
        <v>0</v>
      </c>
      <c r="F66" s="15"/>
      <c r="G66" s="26"/>
      <c r="H66" s="9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7" t="n">
        <f aca="false">D76*C76</f>
        <v>0</v>
      </c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7" t="n">
        <f aca="false">D77*C77</f>
        <v>0</v>
      </c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7" t="n">
        <f aca="false">D78*C78</f>
        <v>0</v>
      </c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7" t="n">
        <f aca="false">D79*C79</f>
        <v>0</v>
      </c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A97" s="10"/>
      <c r="B97" s="11"/>
      <c r="C97" s="12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false" outlineLevel="0" collapsed="false">
      <c r="A98" s="10"/>
      <c r="B98" s="11"/>
      <c r="C98" s="12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false" outlineLevel="0" collapsed="false">
      <c r="A99" s="10"/>
      <c r="B99" s="11"/>
      <c r="C99" s="12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false" outlineLevel="0" collapsed="false">
      <c r="A100" s="10"/>
      <c r="B100" s="11"/>
      <c r="C100" s="12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B991" s="13"/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B992" s="13"/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B993" s="13"/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B994" s="13"/>
    </row>
  </sheetData>
  <mergeCells count="32">
    <mergeCell ref="A2:A9"/>
    <mergeCell ref="F2:F9"/>
    <mergeCell ref="G2:G9"/>
    <mergeCell ref="H2:H9"/>
    <mergeCell ref="A10:A17"/>
    <mergeCell ref="F10:F17"/>
    <mergeCell ref="G10:G17"/>
    <mergeCell ref="H10:H17"/>
    <mergeCell ref="A18:A26"/>
    <mergeCell ref="F18:F26"/>
    <mergeCell ref="G18:G26"/>
    <mergeCell ref="H18:H26"/>
    <mergeCell ref="A27:A34"/>
    <mergeCell ref="F27:F34"/>
    <mergeCell ref="G27:G34"/>
    <mergeCell ref="H27:H34"/>
    <mergeCell ref="A35:A42"/>
    <mergeCell ref="F35:F42"/>
    <mergeCell ref="G35:G42"/>
    <mergeCell ref="H35:H42"/>
    <mergeCell ref="A43:A50"/>
    <mergeCell ref="F43:F50"/>
    <mergeCell ref="G43:G50"/>
    <mergeCell ref="H43:H50"/>
    <mergeCell ref="A51:A58"/>
    <mergeCell ref="F51:F58"/>
    <mergeCell ref="G51:G58"/>
    <mergeCell ref="H51:H58"/>
    <mergeCell ref="A59:A66"/>
    <mergeCell ref="F59:F66"/>
    <mergeCell ref="G59:G66"/>
    <mergeCell ref="H59:H66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3" t="s">
        <v>295</v>
      </c>
      <c r="B2" s="34" t="s">
        <v>92</v>
      </c>
      <c r="C2" s="6" t="n">
        <v>0.02</v>
      </c>
      <c r="D2" s="6" t="e">
        <f aca="false">#REF!</f>
        <v>#REF!</v>
      </c>
      <c r="E2" s="7" t="e">
        <f aca="false">D2*C2</f>
        <v>#REF!</v>
      </c>
      <c r="F2" s="9" t="e">
        <f aca="false">SUM(E2:E6)</f>
        <v>#REF!</v>
      </c>
      <c r="G2" s="9" t="n">
        <v>300</v>
      </c>
      <c r="H2" s="9" t="e">
        <f aca="false">(G2-F2)/F2*100</f>
        <v>#REF!</v>
      </c>
    </row>
    <row r="3" customFormat="false" ht="15.75" hidden="false" customHeight="false" outlineLevel="0" collapsed="false">
      <c r="A3" s="3"/>
      <c r="B3" s="5" t="s">
        <v>296</v>
      </c>
      <c r="C3" s="6" t="n">
        <v>0.01</v>
      </c>
      <c r="D3" s="6" t="e">
        <f aca="false">#REF!</f>
        <v>#REF!</v>
      </c>
      <c r="E3" s="7" t="e">
        <f aca="false">D3*C3</f>
        <v>#REF!</v>
      </c>
      <c r="F3" s="9"/>
      <c r="G3" s="9"/>
      <c r="H3" s="9"/>
    </row>
    <row r="4" customFormat="false" ht="15.75" hidden="false" customHeight="false" outlineLevel="0" collapsed="false">
      <c r="A4" s="3"/>
      <c r="B4" s="5" t="s">
        <v>66</v>
      </c>
      <c r="C4" s="6" t="n">
        <v>0.04</v>
      </c>
      <c r="D4" s="6" t="e">
        <f aca="false">#REF!</f>
        <v>#REF!</v>
      </c>
      <c r="E4" s="7" t="e">
        <f aca="false">D4*C4</f>
        <v>#REF!</v>
      </c>
      <c r="F4" s="9"/>
      <c r="G4" s="9"/>
      <c r="H4" s="9"/>
    </row>
    <row r="5" customFormat="false" ht="15.75" hidden="false" customHeight="false" outlineLevel="0" collapsed="false">
      <c r="A5" s="3"/>
      <c r="B5" s="5" t="s">
        <v>297</v>
      </c>
      <c r="C5" s="6" t="n">
        <v>0.12</v>
      </c>
      <c r="D5" s="6" t="e">
        <f aca="false">#REF!</f>
        <v>#REF!</v>
      </c>
      <c r="E5" s="7" t="e">
        <f aca="false">D5*C5</f>
        <v>#REF!</v>
      </c>
      <c r="F5" s="9"/>
      <c r="G5" s="9"/>
      <c r="H5" s="9"/>
    </row>
    <row r="6" customFormat="false" ht="15.75" hidden="false" customHeight="false" outlineLevel="0" collapsed="false">
      <c r="A6" s="3"/>
      <c r="B6" s="5" t="s">
        <v>261</v>
      </c>
      <c r="C6" s="6" t="n">
        <v>0.01</v>
      </c>
      <c r="D6" s="6" t="e">
        <f aca="false">#REF!</f>
        <v>#REF!</v>
      </c>
      <c r="E6" s="7" t="e">
        <f aca="false">D6*C6</f>
        <v>#REF!</v>
      </c>
      <c r="F6" s="9"/>
      <c r="G6" s="9"/>
      <c r="H6" s="9"/>
    </row>
    <row r="7" customFormat="false" ht="15.75" hidden="false" customHeight="false" outlineLevel="0" collapsed="false">
      <c r="A7" s="4" t="s">
        <v>298</v>
      </c>
      <c r="B7" s="5" t="s">
        <v>43</v>
      </c>
      <c r="C7" s="6" t="n">
        <v>0.05</v>
      </c>
      <c r="D7" s="6" t="e">
        <f aca="false">#REF!</f>
        <v>#REF!</v>
      </c>
      <c r="E7" s="7" t="e">
        <f aca="false">D7*C7</f>
        <v>#REF!</v>
      </c>
      <c r="F7" s="8" t="e">
        <f aca="false">SUM(E7:E12)</f>
        <v>#REF!</v>
      </c>
      <c r="G7" s="8" t="n">
        <v>450</v>
      </c>
      <c r="H7" s="9" t="e">
        <f aca="false">(G7-F7)/F7*100</f>
        <v>#REF!</v>
      </c>
    </row>
    <row r="8" customFormat="false" ht="15.75" hidden="false" customHeight="false" outlineLevel="0" collapsed="false">
      <c r="A8" s="4"/>
      <c r="B8" s="5" t="s">
        <v>201</v>
      </c>
      <c r="C8" s="6" t="n">
        <v>0.05</v>
      </c>
      <c r="D8" s="6" t="e">
        <f aca="false">#REF!</f>
        <v>#REF!</v>
      </c>
      <c r="E8" s="7" t="e">
        <f aca="false">D8*C8</f>
        <v>#REF!</v>
      </c>
      <c r="F8" s="8"/>
      <c r="G8" s="8"/>
      <c r="H8" s="8"/>
    </row>
    <row r="9" customFormat="false" ht="15.75" hidden="false" customHeight="false" outlineLevel="0" collapsed="false">
      <c r="A9" s="4"/>
      <c r="B9" s="5" t="s">
        <v>299</v>
      </c>
      <c r="C9" s="6" t="n">
        <v>0.015</v>
      </c>
      <c r="D9" s="6" t="e">
        <f aca="false">#REF!</f>
        <v>#REF!</v>
      </c>
      <c r="E9" s="7" t="e">
        <f aca="false">D9*C9</f>
        <v>#REF!</v>
      </c>
      <c r="F9" s="8"/>
      <c r="G9" s="8"/>
      <c r="H9" s="8"/>
    </row>
    <row r="10" customFormat="false" ht="15.75" hidden="false" customHeight="false" outlineLevel="0" collapsed="false">
      <c r="A10" s="4"/>
      <c r="B10" s="5" t="s">
        <v>66</v>
      </c>
      <c r="C10" s="6" t="n">
        <v>0.04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5" t="s">
        <v>240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62</v>
      </c>
      <c r="C12" s="6" t="n">
        <v>0.015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 t="s">
        <v>300</v>
      </c>
      <c r="B13" s="5" t="s">
        <v>301</v>
      </c>
      <c r="C13" s="6" t="n">
        <v>0.03</v>
      </c>
      <c r="D13" s="6" t="e">
        <f aca="false">#REF!</f>
        <v>#REF!</v>
      </c>
      <c r="E13" s="7" t="e">
        <f aca="false">D13*C13</f>
        <v>#REF!</v>
      </c>
      <c r="F13" s="9" t="e">
        <f aca="false">SUM(E13:E17)</f>
        <v>#REF!</v>
      </c>
      <c r="G13" s="23" t="n">
        <v>300</v>
      </c>
      <c r="H13" s="9" t="e">
        <f aca="false">(G13-F13)/F13*100</f>
        <v>#REF!</v>
      </c>
    </row>
    <row r="14" customFormat="false" ht="15.75" hidden="false" customHeight="false" outlineLevel="0" collapsed="false">
      <c r="A14" s="4"/>
      <c r="B14" s="5" t="s">
        <v>66</v>
      </c>
      <c r="C14" s="6" t="n">
        <v>0.04</v>
      </c>
      <c r="D14" s="6" t="e">
        <f aca="false">#REF!</f>
        <v>#REF!</v>
      </c>
      <c r="E14" s="7" t="e">
        <f aca="false">D14*C14</f>
        <v>#REF!</v>
      </c>
      <c r="F14" s="9"/>
      <c r="G14" s="9"/>
      <c r="H14" s="9"/>
    </row>
    <row r="15" customFormat="false" ht="15.75" hidden="false" customHeight="false" outlineLevel="0" collapsed="false">
      <c r="A15" s="4"/>
      <c r="B15" s="5" t="s">
        <v>260</v>
      </c>
      <c r="C15" s="6" t="n">
        <v>0.08</v>
      </c>
      <c r="D15" s="6" t="n">
        <v>170</v>
      </c>
      <c r="E15" s="7" t="n">
        <f aca="false">D15*C15</f>
        <v>13.6</v>
      </c>
      <c r="F15" s="9"/>
      <c r="G15" s="9"/>
      <c r="H15" s="9"/>
    </row>
    <row r="16" customFormat="false" ht="15.75" hidden="false" customHeight="false" outlineLevel="0" collapsed="false">
      <c r="A16" s="4"/>
      <c r="B16" s="5" t="s">
        <v>209</v>
      </c>
      <c r="C16" s="6" t="n">
        <v>0.05</v>
      </c>
      <c r="D16" s="6" t="n">
        <v>40</v>
      </c>
      <c r="E16" s="7" t="n">
        <f aca="false">D16*C16</f>
        <v>2</v>
      </c>
      <c r="F16" s="9"/>
      <c r="G16" s="9"/>
      <c r="H16" s="9"/>
    </row>
    <row r="17" customFormat="false" ht="15.75" hidden="false" customHeight="false" outlineLevel="0" collapsed="false">
      <c r="A17" s="4"/>
      <c r="B17" s="5" t="s">
        <v>261</v>
      </c>
      <c r="C17" s="6" t="n">
        <v>0.01</v>
      </c>
      <c r="D17" s="6" t="n">
        <v>300</v>
      </c>
      <c r="E17" s="7" t="n">
        <f aca="false">D17*C17</f>
        <v>3</v>
      </c>
      <c r="F17" s="9"/>
      <c r="G17" s="9"/>
      <c r="H17" s="9"/>
    </row>
    <row r="18" customFormat="false" ht="15.75" hidden="false" customHeight="false" outlineLevel="0" collapsed="false">
      <c r="A18" s="4" t="s">
        <v>302</v>
      </c>
      <c r="B18" s="5" t="s">
        <v>104</v>
      </c>
      <c r="C18" s="6" t="n">
        <v>0.1</v>
      </c>
      <c r="D18" s="6" t="e">
        <f aca="false">#REF!</f>
        <v>#REF!</v>
      </c>
      <c r="E18" s="7" t="e">
        <f aca="false">D18*C18</f>
        <v>#REF!</v>
      </c>
      <c r="F18" s="8" t="e">
        <f aca="false">SUM(E18:E21)</f>
        <v>#REF!</v>
      </c>
      <c r="G18" s="8" t="n">
        <v>300</v>
      </c>
      <c r="H18" s="18" t="e">
        <f aca="false">(G18-F18)/F18*100</f>
        <v>#REF!</v>
      </c>
    </row>
    <row r="19" customFormat="false" ht="15.75" hidden="false" customHeight="false" outlineLevel="0" collapsed="false">
      <c r="A19" s="4"/>
      <c r="B19" s="5" t="s">
        <v>59</v>
      </c>
      <c r="C19" s="6" t="n">
        <v>0.02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false" customHeight="false" outlineLevel="0" collapsed="false">
      <c r="A20" s="4"/>
      <c r="B20" s="5" t="s">
        <v>35</v>
      </c>
      <c r="C20" s="6" t="n">
        <v>0.02</v>
      </c>
      <c r="D20" s="7" t="e">
        <f aca="false">#REF!</f>
        <v>#REF!</v>
      </c>
      <c r="E20" s="7" t="e">
        <f aca="false">D20*C20</f>
        <v>#REF!</v>
      </c>
      <c r="F20" s="8"/>
      <c r="G20" s="8"/>
      <c r="H20" s="8"/>
    </row>
    <row r="21" customFormat="false" ht="15.75" hidden="false" customHeight="false" outlineLevel="0" collapsed="false">
      <c r="A21" s="4"/>
      <c r="B21" s="5" t="s">
        <v>62</v>
      </c>
      <c r="C21" s="6" t="n">
        <v>0.015</v>
      </c>
      <c r="D21" s="6" t="n">
        <v>300</v>
      </c>
      <c r="E21" s="7" t="n">
        <f aca="false">D21*C21</f>
        <v>4.5</v>
      </c>
      <c r="F21" s="8"/>
      <c r="G21" s="8"/>
      <c r="H21" s="8"/>
    </row>
    <row r="22" customFormat="false" ht="15.75" hidden="false" customHeight="false" outlineLevel="0" collapsed="false">
      <c r="A22" s="4" t="s">
        <v>303</v>
      </c>
      <c r="B22" s="5" t="s">
        <v>304</v>
      </c>
      <c r="C22" s="6" t="n">
        <v>0.01</v>
      </c>
      <c r="D22" s="6" t="e">
        <f aca="false">#REF!</f>
        <v>#REF!</v>
      </c>
      <c r="E22" s="7" t="e">
        <f aca="false">D22*C22</f>
        <v>#REF!</v>
      </c>
      <c r="F22" s="9" t="e">
        <f aca="false">SUM(E22:E26)</f>
        <v>#REF!</v>
      </c>
      <c r="G22" s="23" t="n">
        <v>300</v>
      </c>
      <c r="H22" s="9" t="e">
        <f aca="false">(G22-F22)/F22*100</f>
        <v>#REF!</v>
      </c>
    </row>
    <row r="23" customFormat="false" ht="15.75" hidden="false" customHeight="false" outlineLevel="0" collapsed="false">
      <c r="A23" s="4"/>
      <c r="B23" s="5" t="s">
        <v>238</v>
      </c>
      <c r="C23" s="6" t="n">
        <v>0.02</v>
      </c>
      <c r="D23" s="6" t="e">
        <f aca="false">#REF!</f>
        <v>#REF!</v>
      </c>
      <c r="E23" s="7" t="e">
        <f aca="false">D23*C23</f>
        <v>#REF!</v>
      </c>
      <c r="F23" s="9"/>
      <c r="G23" s="9"/>
      <c r="H23" s="9"/>
    </row>
    <row r="24" customFormat="false" ht="15.75" hidden="false" customHeight="false" outlineLevel="0" collapsed="false">
      <c r="A24" s="4"/>
      <c r="B24" s="5" t="s">
        <v>60</v>
      </c>
      <c r="C24" s="6" t="n">
        <v>0.03</v>
      </c>
      <c r="D24" s="6" t="e">
        <f aca="false">#REF!</f>
        <v>#REF!</v>
      </c>
      <c r="E24" s="7" t="e">
        <f aca="false">D24*C24</f>
        <v>#REF!</v>
      </c>
      <c r="F24" s="9"/>
      <c r="G24" s="9"/>
      <c r="H24" s="9"/>
    </row>
    <row r="25" customFormat="false" ht="15.75" hidden="false" customHeight="false" outlineLevel="0" collapsed="false">
      <c r="A25" s="4"/>
      <c r="B25" s="5" t="s">
        <v>208</v>
      </c>
      <c r="C25" s="6" t="n">
        <v>0.05</v>
      </c>
      <c r="D25" s="6" t="e">
        <f aca="false">#REF!</f>
        <v>#REF!</v>
      </c>
      <c r="E25" s="7" t="e">
        <f aca="false">D25*C25</f>
        <v>#REF!</v>
      </c>
      <c r="F25" s="9"/>
      <c r="G25" s="9"/>
      <c r="H25" s="9"/>
    </row>
    <row r="26" customFormat="false" ht="15.75" hidden="false" customHeight="false" outlineLevel="0" collapsed="false">
      <c r="A26" s="4"/>
      <c r="B26" s="5" t="s">
        <v>218</v>
      </c>
      <c r="C26" s="6" t="n">
        <v>0.01</v>
      </c>
      <c r="D26" s="6" t="e">
        <f aca="false">#REF!</f>
        <v>#REF!</v>
      </c>
      <c r="E26" s="7" t="e">
        <f aca="false">D26*C26</f>
        <v>#REF!</v>
      </c>
      <c r="F26" s="9"/>
      <c r="G26" s="9"/>
      <c r="H26" s="9"/>
    </row>
    <row r="27" customFormat="false" ht="15.75" hidden="false" customHeight="false" outlineLevel="0" collapsed="false">
      <c r="A27" s="4" t="s">
        <v>305</v>
      </c>
      <c r="B27" s="5" t="s">
        <v>306</v>
      </c>
      <c r="C27" s="6" t="n">
        <v>0.08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450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240</v>
      </c>
      <c r="C28" s="6" t="n">
        <v>0.02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66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200</v>
      </c>
      <c r="C30" s="6" t="n">
        <v>0.02</v>
      </c>
      <c r="D30" s="6" t="e">
        <f aca="false">#REF!</f>
        <v>#REF!</v>
      </c>
      <c r="E30" s="7" t="e">
        <f aca="false">D30*C30</f>
        <v>#REF!</v>
      </c>
      <c r="F30" s="8"/>
      <c r="G30" s="8"/>
      <c r="H30" s="8"/>
    </row>
    <row r="31" customFormat="false" ht="15.75" hidden="false" customHeight="false" outlineLevel="0" collapsed="false">
      <c r="A31" s="4"/>
      <c r="B31" s="5" t="s">
        <v>88</v>
      </c>
      <c r="C31" s="6" t="n">
        <v>0.05</v>
      </c>
      <c r="D31" s="6" t="e">
        <f aca="false">#REF!</f>
        <v>#REF!</v>
      </c>
      <c r="E31" s="7" t="e">
        <f aca="false">D31*C31</f>
        <v>#REF!</v>
      </c>
      <c r="F31" s="8"/>
      <c r="G31" s="8"/>
      <c r="H31" s="8"/>
    </row>
    <row r="32" customFormat="false" ht="15.75" hidden="false" customHeight="false" outlineLevel="0" collapsed="false">
      <c r="A32" s="4"/>
      <c r="B32" s="5" t="s">
        <v>62</v>
      </c>
      <c r="C32" s="6" t="n">
        <v>0.015</v>
      </c>
      <c r="D32" s="6" t="e">
        <f aca="false">#REF!</f>
        <v>#REF!</v>
      </c>
      <c r="E32" s="7" t="e">
        <f aca="false">D32*C32</f>
        <v>#REF!</v>
      </c>
      <c r="F32" s="8"/>
      <c r="G32" s="8"/>
      <c r="H32" s="8"/>
    </row>
    <row r="33" customFormat="false" ht="15.75" hidden="false" customHeight="false" outlineLevel="0" collapsed="false">
      <c r="A33" s="4" t="s">
        <v>307</v>
      </c>
      <c r="B33" s="5" t="s">
        <v>67</v>
      </c>
      <c r="C33" s="6" t="n">
        <v>0.1</v>
      </c>
      <c r="D33" s="6" t="e">
        <f aca="false">#REF!</f>
        <v>#REF!</v>
      </c>
      <c r="E33" s="7" t="e">
        <f aca="false">D33*C33</f>
        <v>#REF!</v>
      </c>
      <c r="F33" s="9" t="e">
        <f aca="false">SUM(E33:E37)</f>
        <v>#REF!</v>
      </c>
      <c r="G33" s="23" t="n">
        <v>300</v>
      </c>
      <c r="H33" s="9" t="e">
        <f aca="false">(G33-F33)/F33*100</f>
        <v>#REF!</v>
      </c>
    </row>
    <row r="34" customFormat="false" ht="15.75" hidden="false" customHeight="false" outlineLevel="0" collapsed="false">
      <c r="A34" s="4"/>
      <c r="B34" s="5" t="s">
        <v>66</v>
      </c>
      <c r="C34" s="6" t="n">
        <v>0.04</v>
      </c>
      <c r="D34" s="6" t="e">
        <f aca="false">#REF!</f>
        <v>#REF!</v>
      </c>
      <c r="E34" s="7" t="e">
        <f aca="false">D34*C34</f>
        <v>#REF!</v>
      </c>
      <c r="F34" s="9"/>
      <c r="G34" s="9"/>
      <c r="H34" s="9"/>
    </row>
    <row r="35" customFormat="false" ht="15.75" hidden="false" customHeight="false" outlineLevel="0" collapsed="false">
      <c r="A35" s="4"/>
      <c r="B35" s="5" t="s">
        <v>308</v>
      </c>
      <c r="C35" s="6" t="n">
        <v>0.015</v>
      </c>
      <c r="D35" s="6" t="e">
        <f aca="false">#REF!</f>
        <v>#REF!</v>
      </c>
      <c r="E35" s="7" t="e">
        <f aca="false">D35*C35</f>
        <v>#REF!</v>
      </c>
      <c r="F35" s="9"/>
      <c r="G35" s="9"/>
      <c r="H35" s="9"/>
    </row>
    <row r="36" customFormat="false" ht="15.75" hidden="false" customHeight="false" outlineLevel="0" collapsed="false">
      <c r="A36" s="4"/>
      <c r="B36" s="5" t="s">
        <v>309</v>
      </c>
      <c r="C36" s="6" t="n">
        <v>0.08</v>
      </c>
      <c r="D36" s="6" t="e">
        <f aca="false">#REF!</f>
        <v>#REF!</v>
      </c>
      <c r="E36" s="7" t="e">
        <f aca="false">D36*C36</f>
        <v>#REF!</v>
      </c>
      <c r="F36" s="9"/>
      <c r="G36" s="9"/>
      <c r="H36" s="9"/>
    </row>
    <row r="37" customFormat="false" ht="15.75" hidden="false" customHeight="false" outlineLevel="0" collapsed="false">
      <c r="A37" s="4"/>
      <c r="B37" s="5" t="s">
        <v>218</v>
      </c>
      <c r="C37" s="6" t="n">
        <v>0.01</v>
      </c>
      <c r="D37" s="6" t="e">
        <f aca="false">#REF!</f>
        <v>#REF!</v>
      </c>
      <c r="E37" s="7" t="e">
        <f aca="false">D37*C37</f>
        <v>#REF!</v>
      </c>
      <c r="F37" s="9"/>
      <c r="G37" s="9"/>
      <c r="H37" s="9"/>
    </row>
    <row r="38" customFormat="false" ht="15.75" hidden="false" customHeight="false" outlineLevel="0" collapsed="false">
      <c r="A38" s="4" t="s">
        <v>310</v>
      </c>
      <c r="B38" s="5" t="s">
        <v>285</v>
      </c>
      <c r="C38" s="6" t="n">
        <v>0.1</v>
      </c>
      <c r="D38" s="6" t="e">
        <f aca="false">#REF!</f>
        <v>#REF!</v>
      </c>
      <c r="E38" s="7" t="e">
        <f aca="false">D38*C38</f>
        <v>#REF!</v>
      </c>
      <c r="F38" s="9" t="e">
        <f aca="false">SUM(E38:E42)</f>
        <v>#REF!</v>
      </c>
      <c r="G38" s="23" t="n">
        <v>300</v>
      </c>
      <c r="H38" s="9" t="e">
        <f aca="false">(G38-F38)/F38*100</f>
        <v>#REF!</v>
      </c>
    </row>
    <row r="39" customFormat="false" ht="15.75" hidden="false" customHeight="false" outlineLevel="0" collapsed="false">
      <c r="A39" s="4"/>
      <c r="B39" s="5" t="s">
        <v>200</v>
      </c>
      <c r="C39" s="6" t="n">
        <v>0.02</v>
      </c>
      <c r="D39" s="6" t="e">
        <f aca="false">#REF!</f>
        <v>#REF!</v>
      </c>
      <c r="E39" s="7" t="e">
        <f aca="false">D39*C39</f>
        <v>#REF!</v>
      </c>
      <c r="F39" s="9"/>
      <c r="G39" s="9"/>
      <c r="H39" s="9"/>
    </row>
    <row r="40" customFormat="false" ht="15.75" hidden="false" customHeight="false" outlineLevel="0" collapsed="false">
      <c r="A40" s="4"/>
      <c r="B40" s="5" t="s">
        <v>60</v>
      </c>
      <c r="C40" s="6" t="n">
        <v>0.03</v>
      </c>
      <c r="D40" s="6" t="e">
        <f aca="false">#REF!</f>
        <v>#REF!</v>
      </c>
      <c r="E40" s="7" t="e">
        <f aca="false">D40*C40</f>
        <v>#REF!</v>
      </c>
      <c r="F40" s="9"/>
      <c r="G40" s="9"/>
      <c r="H40" s="9"/>
    </row>
    <row r="41" customFormat="false" ht="15.75" hidden="false" customHeight="false" outlineLevel="0" collapsed="false">
      <c r="A41" s="4"/>
      <c r="B41" s="5" t="s">
        <v>209</v>
      </c>
      <c r="C41" s="6" t="n">
        <v>0.1</v>
      </c>
      <c r="D41" s="6" t="n">
        <v>40</v>
      </c>
      <c r="E41" s="7" t="n">
        <f aca="false">D41*C41</f>
        <v>4</v>
      </c>
      <c r="F41" s="9"/>
      <c r="G41" s="9"/>
      <c r="H41" s="9"/>
    </row>
    <row r="42" customFormat="false" ht="15.75" hidden="false" customHeight="false" outlineLevel="0" collapsed="false">
      <c r="A42" s="4"/>
      <c r="B42" s="5" t="s">
        <v>311</v>
      </c>
      <c r="C42" s="6" t="n">
        <v>0.01</v>
      </c>
      <c r="D42" s="6" t="e">
        <f aca="false">#REF!</f>
        <v>#REF!</v>
      </c>
      <c r="E42" s="7" t="e">
        <f aca="false">D42*C42</f>
        <v>#REF!</v>
      </c>
      <c r="F42" s="9"/>
      <c r="G42" s="9"/>
      <c r="H42" s="9"/>
    </row>
    <row r="43" customFormat="false" ht="15.75" hidden="false" customHeight="false" outlineLevel="0" collapsed="false">
      <c r="A43" s="4"/>
      <c r="B43" s="6"/>
      <c r="C43" s="6"/>
      <c r="D43" s="6"/>
      <c r="E43" s="7" t="n">
        <f aca="false">D43*C43</f>
        <v>0</v>
      </c>
      <c r="F43" s="15" t="n">
        <f aca="false">SUM(E43:E50)</f>
        <v>0</v>
      </c>
      <c r="G43" s="26"/>
      <c r="H43" s="9" t="e">
        <f aca="false">(G43-F43)/F43*100</f>
        <v>#DIV/0!</v>
      </c>
    </row>
    <row r="44" customFormat="false" ht="15.75" hidden="false" customHeight="false" outlineLevel="0" collapsed="false">
      <c r="A44" s="4"/>
      <c r="B44" s="21"/>
      <c r="C44" s="6"/>
      <c r="D44" s="6"/>
      <c r="E44" s="7" t="n">
        <f aca="false">D44*C44</f>
        <v>0</v>
      </c>
      <c r="F44" s="15"/>
      <c r="G44" s="15"/>
      <c r="H44" s="15"/>
    </row>
    <row r="45" customFormat="false" ht="15.75" hidden="false" customHeight="false" outlineLevel="0" collapsed="false">
      <c r="A45" s="4"/>
      <c r="B45" s="21"/>
      <c r="C45" s="6"/>
      <c r="D45" s="6"/>
      <c r="E45" s="7" t="n">
        <f aca="false">D45*C45</f>
        <v>0</v>
      </c>
      <c r="F45" s="15"/>
      <c r="G45" s="15"/>
      <c r="H45" s="15"/>
    </row>
    <row r="46" customFormat="false" ht="15.75" hidden="false" customHeight="false" outlineLevel="0" collapsed="false">
      <c r="A46" s="4"/>
      <c r="B46" s="21"/>
      <c r="C46" s="6"/>
      <c r="D46" s="6"/>
      <c r="E46" s="7" t="n">
        <f aca="false">D46*C46</f>
        <v>0</v>
      </c>
      <c r="F46" s="15"/>
      <c r="G46" s="15"/>
      <c r="H46" s="15"/>
    </row>
    <row r="47" customFormat="false" ht="15.75" hidden="false" customHeight="false" outlineLevel="0" collapsed="false">
      <c r="A47" s="4"/>
      <c r="B47" s="28"/>
      <c r="C47" s="6"/>
      <c r="D47" s="6"/>
      <c r="E47" s="7" t="n">
        <f aca="false">D47*C47</f>
        <v>0</v>
      </c>
      <c r="F47" s="15"/>
      <c r="G47" s="15"/>
      <c r="H47" s="15"/>
    </row>
    <row r="48" customFormat="false" ht="15.75" hidden="false" customHeight="false" outlineLevel="0" collapsed="false">
      <c r="A48" s="4"/>
      <c r="B48" s="28"/>
      <c r="C48" s="6"/>
      <c r="D48" s="6"/>
      <c r="E48" s="7" t="n">
        <f aca="false">D48*C48</f>
        <v>0</v>
      </c>
      <c r="F48" s="15"/>
      <c r="G48" s="15"/>
      <c r="H48" s="15"/>
    </row>
    <row r="49" customFormat="false" ht="15.75" hidden="false" customHeight="false" outlineLevel="0" collapsed="false">
      <c r="A49" s="4"/>
      <c r="B49" s="28"/>
      <c r="C49" s="6"/>
      <c r="D49" s="6"/>
      <c r="E49" s="7" t="n">
        <f aca="false">D49*C49</f>
        <v>0</v>
      </c>
      <c r="F49" s="15"/>
      <c r="G49" s="15"/>
      <c r="H49" s="15"/>
    </row>
    <row r="50" customFormat="false" ht="15.75" hidden="false" customHeight="false" outlineLevel="0" collapsed="false">
      <c r="A50" s="4"/>
      <c r="B50" s="28"/>
      <c r="C50" s="6"/>
      <c r="D50" s="6"/>
      <c r="E50" s="7" t="n">
        <f aca="false">D50*C50</f>
        <v>0</v>
      </c>
      <c r="F50" s="15"/>
      <c r="G50" s="26"/>
      <c r="H50" s="9"/>
    </row>
    <row r="51" customFormat="false" ht="15.75" hidden="false" customHeight="false" outlineLevel="0" collapsed="false">
      <c r="A51" s="4"/>
      <c r="B51" s="34"/>
      <c r="C51" s="6"/>
      <c r="D51" s="6"/>
      <c r="E51" s="7" t="n">
        <f aca="false">D51*C51</f>
        <v>0</v>
      </c>
      <c r="F51" s="15" t="n">
        <f aca="false">SUM(E51:E58)</f>
        <v>0</v>
      </c>
      <c r="G51" s="26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15"/>
      <c r="G52" s="15"/>
      <c r="H52" s="15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15"/>
      <c r="G53" s="15"/>
      <c r="H53" s="15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15"/>
      <c r="G54" s="15"/>
      <c r="H54" s="15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15"/>
      <c r="G55" s="15"/>
      <c r="H55" s="15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15"/>
      <c r="G56" s="15"/>
      <c r="H56" s="15"/>
    </row>
    <row r="57" customFormat="false" ht="15.75" hidden="false" customHeight="false" outlineLevel="0" collapsed="false">
      <c r="A57" s="4"/>
      <c r="B57" s="28"/>
      <c r="C57" s="6"/>
      <c r="D57" s="6"/>
      <c r="E57" s="7" t="n">
        <f aca="false">D57*C57</f>
        <v>0</v>
      </c>
      <c r="F57" s="15"/>
      <c r="G57" s="15"/>
      <c r="H57" s="15"/>
    </row>
    <row r="58" customFormat="false" ht="15.75" hidden="false" customHeight="false" outlineLevel="0" collapsed="false">
      <c r="A58" s="4"/>
      <c r="B58" s="28"/>
      <c r="C58" s="6"/>
      <c r="D58" s="6"/>
      <c r="E58" s="7" t="n">
        <f aca="false">D58*C58</f>
        <v>0</v>
      </c>
      <c r="F58" s="15"/>
      <c r="G58" s="26"/>
      <c r="H58" s="9"/>
    </row>
    <row r="59" customFormat="false" ht="15.75" hidden="false" customHeight="false" outlineLevel="0" collapsed="false">
      <c r="A59" s="4"/>
      <c r="B59" s="6"/>
      <c r="C59" s="6"/>
      <c r="D59" s="6"/>
      <c r="E59" s="7" t="n">
        <f aca="false">D59*C59</f>
        <v>0</v>
      </c>
      <c r="F59" s="15" t="n">
        <f aca="false">SUM(E59:E66)</f>
        <v>0</v>
      </c>
      <c r="G59" s="26"/>
      <c r="H59" s="9" t="e">
        <f aca="false">(G59-F59)/F59*100</f>
        <v>#DIV/0!</v>
      </c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15"/>
      <c r="G60" s="15"/>
      <c r="H60" s="15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15"/>
      <c r="G61" s="15"/>
      <c r="H61" s="15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15"/>
      <c r="G62" s="15"/>
      <c r="H62" s="15"/>
    </row>
    <row r="63" customFormat="false" ht="15.75" hidden="false" customHeight="false" outlineLevel="0" collapsed="false">
      <c r="A63" s="4"/>
      <c r="B63" s="28"/>
      <c r="C63" s="6"/>
      <c r="D63" s="6"/>
      <c r="E63" s="7" t="n">
        <f aca="false">D63*C63</f>
        <v>0</v>
      </c>
      <c r="F63" s="15"/>
      <c r="G63" s="15"/>
      <c r="H63" s="15"/>
    </row>
    <row r="64" customFormat="false" ht="15.75" hidden="false" customHeight="false" outlineLevel="0" collapsed="false">
      <c r="A64" s="4"/>
      <c r="B64" s="28"/>
      <c r="C64" s="6"/>
      <c r="D64" s="6"/>
      <c r="E64" s="7" t="n">
        <f aca="false">D64*C64</f>
        <v>0</v>
      </c>
      <c r="F64" s="15"/>
      <c r="G64" s="15"/>
      <c r="H64" s="15"/>
    </row>
    <row r="65" customFormat="false" ht="15.75" hidden="false" customHeight="false" outlineLevel="0" collapsed="false">
      <c r="A65" s="4"/>
      <c r="B65" s="28"/>
      <c r="C65" s="6"/>
      <c r="D65" s="6"/>
      <c r="E65" s="7" t="n">
        <f aca="false">D65*C65</f>
        <v>0</v>
      </c>
      <c r="F65" s="15"/>
      <c r="G65" s="15"/>
      <c r="H65" s="15"/>
    </row>
    <row r="66" customFormat="false" ht="15.75" hidden="false" customHeight="false" outlineLevel="0" collapsed="false">
      <c r="A66" s="4"/>
      <c r="B66" s="28"/>
      <c r="C66" s="6"/>
      <c r="D66" s="6"/>
      <c r="E66" s="7" t="n">
        <f aca="false">D66*C66</f>
        <v>0</v>
      </c>
      <c r="F66" s="15"/>
      <c r="G66" s="26"/>
      <c r="H66" s="9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7" t="n">
        <f aca="false">D76*C76</f>
        <v>0</v>
      </c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7" t="n">
        <f aca="false">D77*C77</f>
        <v>0</v>
      </c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7" t="n">
        <f aca="false">D78*C78</f>
        <v>0</v>
      </c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7" t="n">
        <f aca="false">D79*C79</f>
        <v>0</v>
      </c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A97" s="10"/>
      <c r="B97" s="11"/>
      <c r="C97" s="12"/>
      <c r="D97" s="12"/>
      <c r="E97" s="12"/>
      <c r="F97" s="12"/>
      <c r="G97" s="12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false" outlineLevel="0" collapsed="false">
      <c r="A98" s="10"/>
      <c r="B98" s="11"/>
      <c r="C98" s="12"/>
      <c r="D98" s="12"/>
      <c r="E98" s="12"/>
      <c r="F98" s="12"/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false" outlineLevel="0" collapsed="false">
      <c r="A99" s="10"/>
      <c r="B99" s="11"/>
      <c r="C99" s="12"/>
      <c r="D99" s="12"/>
      <c r="E99" s="12"/>
      <c r="F99" s="12"/>
      <c r="G99" s="12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false" outlineLevel="0" collapsed="false">
      <c r="A100" s="10"/>
      <c r="B100" s="11"/>
      <c r="C100" s="12"/>
      <c r="D100" s="12"/>
      <c r="E100" s="12"/>
      <c r="F100" s="12"/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B991" s="13"/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B992" s="13"/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B993" s="13"/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B994" s="13"/>
    </row>
  </sheetData>
  <mergeCells count="44">
    <mergeCell ref="A2:A6"/>
    <mergeCell ref="F2:F6"/>
    <mergeCell ref="G2:G6"/>
    <mergeCell ref="H2:H6"/>
    <mergeCell ref="A7:A12"/>
    <mergeCell ref="F7:F12"/>
    <mergeCell ref="G7:G12"/>
    <mergeCell ref="H7:H12"/>
    <mergeCell ref="A13:A17"/>
    <mergeCell ref="F13:F17"/>
    <mergeCell ref="G13:G17"/>
    <mergeCell ref="H13:H17"/>
    <mergeCell ref="A18:A21"/>
    <mergeCell ref="F18:F21"/>
    <mergeCell ref="G18:G21"/>
    <mergeCell ref="H18:H21"/>
    <mergeCell ref="A22:A26"/>
    <mergeCell ref="F22:F26"/>
    <mergeCell ref="G22:G26"/>
    <mergeCell ref="H22:H26"/>
    <mergeCell ref="A27:A32"/>
    <mergeCell ref="F27:F32"/>
    <mergeCell ref="G27:G32"/>
    <mergeCell ref="H27:H32"/>
    <mergeCell ref="A33:A37"/>
    <mergeCell ref="F33:F37"/>
    <mergeCell ref="G33:G37"/>
    <mergeCell ref="H33:H37"/>
    <mergeCell ref="A38:A42"/>
    <mergeCell ref="F38:F42"/>
    <mergeCell ref="G38:G42"/>
    <mergeCell ref="H38:H42"/>
    <mergeCell ref="A43:A50"/>
    <mergeCell ref="F43:F50"/>
    <mergeCell ref="G43:G50"/>
    <mergeCell ref="H43:H50"/>
    <mergeCell ref="A51:A58"/>
    <mergeCell ref="F51:F58"/>
    <mergeCell ref="G51:G58"/>
    <mergeCell ref="H51:H58"/>
    <mergeCell ref="A59:A66"/>
    <mergeCell ref="F59:F66"/>
    <mergeCell ref="G59:G66"/>
    <mergeCell ref="H59:H66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312</v>
      </c>
      <c r="B2" s="5" t="s">
        <v>313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SUM(E2:E7)</f>
        <v>#REF!</v>
      </c>
      <c r="G2" s="8" t="n">
        <v>650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314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315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316</v>
      </c>
      <c r="C5" s="6" t="n">
        <v>0.06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317</v>
      </c>
      <c r="C6" s="6" t="n">
        <v>0.04</v>
      </c>
      <c r="D6" s="6" t="e">
        <f aca="false">#REF!</f>
        <v>#REF!</v>
      </c>
      <c r="E6" s="7" t="e">
        <f aca="false">D6*C6</f>
        <v>#REF!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 t="s">
        <v>318</v>
      </c>
      <c r="B8" s="5" t="s">
        <v>319</v>
      </c>
      <c r="C8" s="6" t="n">
        <v>0.04</v>
      </c>
      <c r="D8" s="6" t="e">
        <f aca="false">#REF!</f>
        <v>#REF!</v>
      </c>
      <c r="E8" s="7" t="e">
        <f aca="false">D8*C8</f>
        <v>#REF!</v>
      </c>
      <c r="F8" s="8" t="e">
        <f aca="false">SUM(E8:E13)</f>
        <v>#REF!</v>
      </c>
      <c r="G8" s="8" t="n">
        <v>650</v>
      </c>
      <c r="H8" s="9" t="e">
        <f aca="false">(G8-F8)/F8*100</f>
        <v>#REF!</v>
      </c>
    </row>
    <row r="9" customFormat="false" ht="15.75" hidden="false" customHeight="false" outlineLevel="0" collapsed="false">
      <c r="A9" s="4"/>
      <c r="B9" s="5" t="s">
        <v>320</v>
      </c>
      <c r="C9" s="6" t="n">
        <v>0.02</v>
      </c>
      <c r="D9" s="6" t="e">
        <f aca="false">#REF!</f>
        <v>#REF!</v>
      </c>
      <c r="E9" s="7" t="e">
        <f aca="false">D9*C9</f>
        <v>#REF!</v>
      </c>
      <c r="F9" s="8"/>
      <c r="G9" s="8"/>
      <c r="H9" s="8"/>
    </row>
    <row r="10" customFormat="false" ht="15.75" hidden="false" customHeight="false" outlineLevel="0" collapsed="false">
      <c r="A10" s="4"/>
      <c r="B10" s="5" t="s">
        <v>321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5" t="s">
        <v>317</v>
      </c>
      <c r="C11" s="6" t="n">
        <v>0.04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322</v>
      </c>
      <c r="C12" s="6" t="n">
        <v>0.08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/>
      <c r="C13" s="6"/>
      <c r="D13" s="6"/>
      <c r="E13" s="7" t="n">
        <f aca="false">D13*C13</f>
        <v>0</v>
      </c>
      <c r="F13" s="8"/>
      <c r="G13" s="8"/>
      <c r="H13" s="8"/>
    </row>
    <row r="14" customFormat="false" ht="15.75" hidden="false" customHeight="false" outlineLevel="0" collapsed="false">
      <c r="A14" s="4" t="s">
        <v>323</v>
      </c>
      <c r="B14" s="5" t="s">
        <v>17</v>
      </c>
      <c r="C14" s="6" t="n">
        <v>0.04</v>
      </c>
      <c r="D14" s="6" t="e">
        <f aca="false">#REF!</f>
        <v>#REF!</v>
      </c>
      <c r="E14" s="7" t="e">
        <f aca="false">D14*C14</f>
        <v>#REF!</v>
      </c>
      <c r="F14" s="8" t="e">
        <f aca="false">SUM(E14:E19)</f>
        <v>#REF!</v>
      </c>
      <c r="G14" s="8" t="n">
        <v>650</v>
      </c>
      <c r="H14" s="9" t="e">
        <f aca="false">(G14-F14)/F14*100</f>
        <v>#REF!</v>
      </c>
    </row>
    <row r="15" customFormat="false" ht="15.75" hidden="false" customHeight="false" outlineLevel="0" collapsed="false">
      <c r="A15" s="4"/>
      <c r="B15" s="5" t="s">
        <v>324</v>
      </c>
      <c r="C15" s="6" t="n">
        <v>0.02</v>
      </c>
      <c r="D15" s="6" t="e">
        <f aca="false">#REF!</f>
        <v>#REF!</v>
      </c>
      <c r="E15" s="7" t="e">
        <f aca="false">D15*C15</f>
        <v>#REF!</v>
      </c>
      <c r="F15" s="8"/>
      <c r="G15" s="8"/>
      <c r="H15" s="8"/>
    </row>
    <row r="16" customFormat="false" ht="15.75" hidden="false" customHeight="false" outlineLevel="0" collapsed="false">
      <c r="A16" s="4"/>
      <c r="B16" s="5" t="s">
        <v>317</v>
      </c>
      <c r="C16" s="6" t="n">
        <v>0.04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325</v>
      </c>
      <c r="C17" s="6" t="n">
        <v>0.03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326</v>
      </c>
      <c r="C18" s="6" t="n">
        <v>0.02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327</v>
      </c>
      <c r="C19" s="6" t="n">
        <v>0.02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false" customHeight="false" outlineLevel="0" collapsed="false">
      <c r="A20" s="4" t="s">
        <v>328</v>
      </c>
      <c r="B20" s="5" t="s">
        <v>329</v>
      </c>
      <c r="C20" s="6" t="n">
        <v>0.06</v>
      </c>
      <c r="D20" s="6" t="e">
        <f aca="false">#REF!</f>
        <v>#REF!</v>
      </c>
      <c r="E20" s="7" t="e">
        <f aca="false">D20*C20</f>
        <v>#REF!</v>
      </c>
      <c r="F20" s="8" t="e">
        <f aca="false">SUM(E20:E25)</f>
        <v>#REF!</v>
      </c>
      <c r="G20" s="8" t="n">
        <v>1200</v>
      </c>
      <c r="H20" s="9" t="e">
        <f aca="false">(G20-F20)/F20*100</f>
        <v>#REF!</v>
      </c>
    </row>
    <row r="21" customFormat="false" ht="15.75" hidden="false" customHeight="false" outlineLevel="0" collapsed="false">
      <c r="A21" s="4"/>
      <c r="B21" s="5" t="s">
        <v>330</v>
      </c>
      <c r="C21" s="6" t="n">
        <v>0.04</v>
      </c>
      <c r="D21" s="6" t="e">
        <f aca="false">#REF!</f>
        <v>#REF!</v>
      </c>
      <c r="E21" s="7" t="e">
        <f aca="false">D21*C21</f>
        <v>#REF!</v>
      </c>
      <c r="F21" s="8"/>
      <c r="G21" s="8"/>
      <c r="H21" s="8"/>
    </row>
    <row r="22" customFormat="false" ht="15.75" hidden="false" customHeight="false" outlineLevel="0" collapsed="false">
      <c r="A22" s="4"/>
      <c r="B22" s="5" t="s">
        <v>20</v>
      </c>
      <c r="C22" s="6" t="n">
        <v>0.04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331</v>
      </c>
      <c r="C23" s="6" t="n">
        <v>0.02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/>
      <c r="C24" s="6"/>
      <c r="D24" s="6"/>
      <c r="E24" s="7" t="n">
        <f aca="false">D24*C24</f>
        <v>0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 t="s">
        <v>332</v>
      </c>
      <c r="B26" s="5" t="s">
        <v>333</v>
      </c>
      <c r="C26" s="6" t="n">
        <v>0.04</v>
      </c>
      <c r="D26" s="6" t="e">
        <f aca="false">#REF!</f>
        <v>#REF!</v>
      </c>
      <c r="E26" s="7" t="e">
        <f aca="false">D26*C26</f>
        <v>#REF!</v>
      </c>
      <c r="F26" s="8" t="e">
        <f aca="false">SUM(E26:E31)</f>
        <v>#REF!</v>
      </c>
      <c r="G26" s="8" t="n">
        <v>1200</v>
      </c>
      <c r="H26" s="9" t="e">
        <f aca="false">(G26-F26)/F26*100</f>
        <v>#REF!</v>
      </c>
    </row>
    <row r="27" customFormat="false" ht="15.75" hidden="false" customHeight="false" outlineLevel="0" collapsed="false">
      <c r="A27" s="4"/>
      <c r="B27" s="5" t="s">
        <v>334</v>
      </c>
      <c r="C27" s="6" t="n">
        <v>0.08</v>
      </c>
      <c r="D27" s="6" t="e">
        <f aca="false">#REF!</f>
        <v>#REF!</v>
      </c>
      <c r="E27" s="7" t="e">
        <f aca="false">D27*C27</f>
        <v>#REF!</v>
      </c>
      <c r="F27" s="8"/>
      <c r="G27" s="8"/>
      <c r="H27" s="8"/>
    </row>
    <row r="28" customFormat="false" ht="15.75" hidden="false" customHeight="false" outlineLevel="0" collapsed="false">
      <c r="A28" s="4"/>
      <c r="B28" s="5" t="s">
        <v>335</v>
      </c>
      <c r="C28" s="6" t="n">
        <v>0.04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/>
      <c r="C29" s="6"/>
      <c r="D29" s="6"/>
      <c r="E29" s="7" t="n">
        <f aca="false">D29*C29</f>
        <v>0</v>
      </c>
      <c r="F29" s="8"/>
      <c r="G29" s="8"/>
      <c r="H29" s="8"/>
    </row>
    <row r="30" customFormat="false" ht="15.75" hidden="false" customHeight="false" outlineLevel="0" collapsed="false">
      <c r="A30" s="4"/>
      <c r="B30" s="5"/>
      <c r="C30" s="6"/>
      <c r="D30" s="6"/>
      <c r="E30" s="7" t="n">
        <f aca="false">D30*C30</f>
        <v>0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 t="n">
        <f aca="false">SUM(E32:E37)</f>
        <v>0</v>
      </c>
      <c r="G32" s="8"/>
      <c r="H32" s="9" t="e">
        <f aca="false">(G32-F32)/F32*100</f>
        <v>#DIV/0!</v>
      </c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/>
      <c r="G33" s="8"/>
      <c r="H33" s="8"/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 t="n">
        <f aca="false">SUM(E38:E43)</f>
        <v>0</v>
      </c>
      <c r="G38" s="8"/>
      <c r="H38" s="9" t="e">
        <f aca="false">(G38-F38)/F38*100</f>
        <v>#DIV/0!</v>
      </c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/>
      <c r="G39" s="8"/>
      <c r="H39" s="8"/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 t="n">
        <f aca="false">SUM(E44:E49)</f>
        <v>0</v>
      </c>
      <c r="G44" s="8"/>
      <c r="H44" s="9" t="e">
        <f aca="false">(G44-F44)/F44*100</f>
        <v>#DIV/0!</v>
      </c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/>
      <c r="G45" s="8"/>
      <c r="H45" s="8"/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 t="n">
        <f aca="false">SUM(E50:E55)</f>
        <v>0</v>
      </c>
      <c r="G50" s="8"/>
      <c r="H50" s="9" t="e">
        <f aca="false">(G50-F50)/F50*100</f>
        <v>#DIV/0!</v>
      </c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/>
      <c r="G51" s="8"/>
      <c r="H51" s="8"/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 t="n">
        <f aca="false">SUM(E56:E61)</f>
        <v>0</v>
      </c>
      <c r="G56" s="8"/>
      <c r="H56" s="9" t="e">
        <f aca="false">(G56-F56)/F56*100</f>
        <v>#DIV/0!</v>
      </c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/>
      <c r="G57" s="8"/>
      <c r="H57" s="8"/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10"/>
      <c r="B62" s="11"/>
      <c r="C62" s="12"/>
      <c r="D62" s="12"/>
      <c r="E62" s="7" t="n">
        <f aca="false">D62*C62</f>
        <v>0</v>
      </c>
      <c r="F62" s="12"/>
      <c r="G62" s="12"/>
      <c r="H62" s="12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12"/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B96" s="13"/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</row>
  </sheetData>
  <mergeCells count="40">
    <mergeCell ref="A2:A7"/>
    <mergeCell ref="F2:F7"/>
    <mergeCell ref="G2:G7"/>
    <mergeCell ref="H2:H7"/>
    <mergeCell ref="A8:A13"/>
    <mergeCell ref="F8:F13"/>
    <mergeCell ref="G8:G13"/>
    <mergeCell ref="H8:H13"/>
    <mergeCell ref="A14:A19"/>
    <mergeCell ref="F14:F19"/>
    <mergeCell ref="G14:G19"/>
    <mergeCell ref="H14:H19"/>
    <mergeCell ref="A20:A25"/>
    <mergeCell ref="F20:F25"/>
    <mergeCell ref="G20:G25"/>
    <mergeCell ref="H20:H25"/>
    <mergeCell ref="A26:A31"/>
    <mergeCell ref="F26:F31"/>
    <mergeCell ref="G26:G31"/>
    <mergeCell ref="H26:H31"/>
    <mergeCell ref="A32:A37"/>
    <mergeCell ref="F32:F37"/>
    <mergeCell ref="G32:G37"/>
    <mergeCell ref="H32:H37"/>
    <mergeCell ref="A38:A43"/>
    <mergeCell ref="F38:F43"/>
    <mergeCell ref="G38:G43"/>
    <mergeCell ref="H38:H43"/>
    <mergeCell ref="A44:A49"/>
    <mergeCell ref="F44:F49"/>
    <mergeCell ref="G44:G49"/>
    <mergeCell ref="H44:H49"/>
    <mergeCell ref="A50:A55"/>
    <mergeCell ref="F50:F55"/>
    <mergeCell ref="G50:G55"/>
    <mergeCell ref="H50:H55"/>
    <mergeCell ref="A56:A61"/>
    <mergeCell ref="F56:F61"/>
    <mergeCell ref="G56:G61"/>
    <mergeCell ref="H56:H6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true" outlineLevel="0" collapsed="false">
      <c r="A2" s="22" t="s">
        <v>336</v>
      </c>
      <c r="B2" s="5" t="s">
        <v>337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SUM(E2:E7)</f>
        <v>#REF!</v>
      </c>
      <c r="G2" s="8" t="n">
        <v>650</v>
      </c>
      <c r="H2" s="9" t="e">
        <f aca="false">(G2-F2)/F2*100</f>
        <v>#REF!</v>
      </c>
    </row>
    <row r="3" customFormat="false" ht="15.75" hidden="false" customHeight="false" outlineLevel="0" collapsed="false">
      <c r="A3" s="22"/>
      <c r="B3" s="5" t="s">
        <v>338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22"/>
      <c r="B4" s="5" t="s">
        <v>161</v>
      </c>
      <c r="C4" s="6" t="n">
        <v>0.04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22"/>
      <c r="B5" s="5" t="s">
        <v>339</v>
      </c>
      <c r="C5" s="6" t="n">
        <v>0.02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22"/>
      <c r="B6" s="5" t="s">
        <v>340</v>
      </c>
      <c r="C6" s="6" t="n">
        <v>0.08</v>
      </c>
      <c r="D6" s="6" t="e">
        <f aca="false">#REF!*2</f>
        <v>#VALUE!</v>
      </c>
      <c r="E6" s="7" t="e">
        <f aca="false">D6*C6</f>
        <v>#VALUE!</v>
      </c>
      <c r="F6" s="8"/>
      <c r="G6" s="8"/>
      <c r="H6" s="8"/>
    </row>
    <row r="7" customFormat="false" ht="15.75" hidden="false" customHeight="false" outlineLevel="0" collapsed="false">
      <c r="A7" s="22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 t="s">
        <v>341</v>
      </c>
      <c r="B8" s="5" t="s">
        <v>17</v>
      </c>
      <c r="C8" s="6" t="n">
        <v>0.04</v>
      </c>
      <c r="D8" s="6" t="e">
        <f aca="false">#REF!</f>
        <v>#REF!</v>
      </c>
      <c r="E8" s="7" t="e">
        <f aca="false">D8*C8</f>
        <v>#REF!</v>
      </c>
      <c r="F8" s="8" t="e">
        <f aca="false">SUM(E8:E13)</f>
        <v>#REF!</v>
      </c>
      <c r="G8" s="8" t="n">
        <v>650</v>
      </c>
      <c r="H8" s="9" t="e">
        <f aca="false">(G8-F8)/F8*100</f>
        <v>#REF!</v>
      </c>
    </row>
    <row r="9" customFormat="false" ht="15.75" hidden="false" customHeight="false" outlineLevel="0" collapsed="false">
      <c r="A9" s="4"/>
      <c r="B9" s="5" t="s">
        <v>342</v>
      </c>
      <c r="C9" s="6" t="n">
        <v>0.02</v>
      </c>
      <c r="D9" s="6" t="e">
        <f aca="false">#REF!</f>
        <v>#REF!</v>
      </c>
      <c r="E9" s="7" t="e">
        <f aca="false">D9*C9</f>
        <v>#REF!</v>
      </c>
      <c r="F9" s="8"/>
      <c r="G9" s="8"/>
      <c r="H9" s="8"/>
    </row>
    <row r="10" customFormat="false" ht="15.75" hidden="false" customHeight="false" outlineLevel="0" collapsed="false">
      <c r="A10" s="4"/>
      <c r="B10" s="5" t="s">
        <v>161</v>
      </c>
      <c r="C10" s="6" t="n">
        <v>0.04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5" t="s">
        <v>343</v>
      </c>
      <c r="C11" s="6" t="n">
        <v>0.01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344</v>
      </c>
      <c r="C12" s="6" t="n">
        <v>0.08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/>
      <c r="C13" s="6"/>
      <c r="D13" s="6"/>
      <c r="E13" s="7" t="n">
        <f aca="false">D13*C13</f>
        <v>0</v>
      </c>
      <c r="F13" s="8"/>
      <c r="G13" s="8"/>
      <c r="H13" s="8"/>
    </row>
    <row r="14" customFormat="false" ht="15.75" hidden="false" customHeight="false" outlineLevel="0" collapsed="false">
      <c r="A14" s="35"/>
      <c r="B14" s="5" t="s">
        <v>17</v>
      </c>
      <c r="C14" s="6" t="n">
        <v>0.04</v>
      </c>
      <c r="D14" s="6" t="e">
        <f aca="false">#REF!</f>
        <v>#REF!</v>
      </c>
      <c r="E14" s="7" t="e">
        <f aca="false">D14*C14</f>
        <v>#REF!</v>
      </c>
      <c r="F14" s="8" t="e">
        <f aca="false">SUM(E14:E19)</f>
        <v>#REF!</v>
      </c>
      <c r="G14" s="8" t="n">
        <v>650</v>
      </c>
      <c r="H14" s="9" t="e">
        <f aca="false">(G14-F14)/F14*100</f>
        <v>#REF!</v>
      </c>
    </row>
    <row r="15" customFormat="false" ht="15.75" hidden="false" customHeight="false" outlineLevel="0" collapsed="false">
      <c r="A15" s="35"/>
      <c r="B15" s="5" t="s">
        <v>345</v>
      </c>
      <c r="C15" s="6" t="n">
        <v>0.02</v>
      </c>
      <c r="D15" s="6" t="e">
        <f aca="false">#REF!</f>
        <v>#REF!</v>
      </c>
      <c r="E15" s="7" t="e">
        <f aca="false">D15*C15</f>
        <v>#REF!</v>
      </c>
      <c r="F15" s="8"/>
      <c r="G15" s="8"/>
      <c r="H15" s="8"/>
    </row>
    <row r="16" customFormat="false" ht="15.75" hidden="false" customHeight="false" outlineLevel="0" collapsed="false">
      <c r="A16" s="35"/>
      <c r="B16" s="5" t="s">
        <v>346</v>
      </c>
      <c r="C16" s="6" t="n">
        <v>0.04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35"/>
      <c r="C17" s="6" t="n">
        <v>0.12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35"/>
      <c r="B18" s="5"/>
      <c r="C18" s="6"/>
      <c r="D18" s="6"/>
      <c r="E18" s="7" t="n">
        <f aca="false">D18*C18</f>
        <v>0</v>
      </c>
      <c r="F18" s="8"/>
      <c r="G18" s="8"/>
      <c r="H18" s="8"/>
    </row>
    <row r="19" customFormat="false" ht="15.75" hidden="false" customHeight="false" outlineLevel="0" collapsed="false">
      <c r="A19" s="35"/>
      <c r="B19" s="5"/>
      <c r="C19" s="6"/>
      <c r="D19" s="6"/>
      <c r="E19" s="7" t="n">
        <f aca="false">D19*C19</f>
        <v>0</v>
      </c>
      <c r="F19" s="8"/>
      <c r="G19" s="8"/>
      <c r="H19" s="8"/>
    </row>
    <row r="20" customFormat="false" ht="15.75" hidden="false" customHeight="false" outlineLevel="0" collapsed="false">
      <c r="A20" s="4" t="s">
        <v>347</v>
      </c>
      <c r="B20" s="5" t="s">
        <v>348</v>
      </c>
      <c r="C20" s="6" t="n">
        <v>0.08</v>
      </c>
      <c r="D20" s="6" t="e">
        <f aca="false">#REF!</f>
        <v>#REF!</v>
      </c>
      <c r="E20" s="7" t="e">
        <f aca="false">D20*C20</f>
        <v>#REF!</v>
      </c>
      <c r="F20" s="8" t="e">
        <f aca="false">SUM(E20:E25)</f>
        <v>#REF!</v>
      </c>
      <c r="G20" s="8" t="n">
        <v>1000</v>
      </c>
      <c r="H20" s="9" t="e">
        <f aca="false">(G20-F20)/F20*100</f>
        <v>#REF!</v>
      </c>
    </row>
    <row r="21" customFormat="false" ht="15.75" hidden="false" customHeight="false" outlineLevel="0" collapsed="false">
      <c r="A21" s="4"/>
      <c r="B21" s="5" t="s">
        <v>349</v>
      </c>
      <c r="C21" s="6" t="n">
        <v>0.04</v>
      </c>
      <c r="D21" s="6" t="e">
        <f aca="false">#REF!</f>
        <v>#REF!</v>
      </c>
      <c r="E21" s="7" t="e">
        <f aca="false">D21*C21</f>
        <v>#REF!</v>
      </c>
      <c r="F21" s="8"/>
      <c r="G21" s="8"/>
      <c r="H21" s="8"/>
    </row>
    <row r="22" customFormat="false" ht="15.75" hidden="false" customHeight="false" outlineLevel="0" collapsed="false">
      <c r="A22" s="4"/>
      <c r="B22" s="5" t="s">
        <v>350</v>
      </c>
      <c r="C22" s="6" t="n">
        <v>0.04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/>
      <c r="C23" s="6"/>
      <c r="D23" s="6"/>
      <c r="E23" s="7" t="n">
        <f aca="false">D23*C23</f>
        <v>0</v>
      </c>
      <c r="F23" s="8"/>
      <c r="G23" s="8"/>
      <c r="H23" s="8"/>
    </row>
    <row r="24" customFormat="false" ht="15.75" hidden="false" customHeight="false" outlineLevel="0" collapsed="false">
      <c r="A24" s="4"/>
      <c r="B24" s="5"/>
      <c r="C24" s="6"/>
      <c r="D24" s="6"/>
      <c r="E24" s="7" t="n">
        <f aca="false">D24*C24</f>
        <v>0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 t="s">
        <v>351</v>
      </c>
      <c r="B26" s="5" t="s">
        <v>352</v>
      </c>
      <c r="C26" s="6" t="n">
        <v>0.08</v>
      </c>
      <c r="D26" s="6" t="e">
        <f aca="false">#REF!</f>
        <v>#REF!</v>
      </c>
      <c r="E26" s="7" t="e">
        <f aca="false">D26*C26</f>
        <v>#REF!</v>
      </c>
      <c r="F26" s="8" t="e">
        <f aca="false">SUM(E26:E31)</f>
        <v>#REF!</v>
      </c>
      <c r="G26" s="8" t="n">
        <v>1300</v>
      </c>
      <c r="H26" s="9" t="e">
        <f aca="false">(G26-F26)/F26*100</f>
        <v>#REF!</v>
      </c>
    </row>
    <row r="27" customFormat="false" ht="15.75" hidden="false" customHeight="false" outlineLevel="0" collapsed="false">
      <c r="A27" s="4"/>
      <c r="B27" s="5" t="s">
        <v>353</v>
      </c>
      <c r="C27" s="6" t="n">
        <v>0.04</v>
      </c>
      <c r="D27" s="6" t="e">
        <f aca="false">#REF!</f>
        <v>#REF!</v>
      </c>
      <c r="E27" s="7" t="e">
        <f aca="false">D27*C27</f>
        <v>#REF!</v>
      </c>
      <c r="F27" s="8"/>
      <c r="G27" s="8"/>
      <c r="H27" s="8"/>
    </row>
    <row r="28" customFormat="false" ht="15.75" hidden="false" customHeight="false" outlineLevel="0" collapsed="false">
      <c r="A28" s="4"/>
      <c r="B28" s="5" t="s">
        <v>354</v>
      </c>
      <c r="C28" s="6" t="n">
        <v>0.04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355</v>
      </c>
      <c r="C29" s="6" t="n">
        <v>0.08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/>
      <c r="C30" s="6"/>
      <c r="D30" s="6"/>
      <c r="E30" s="7" t="n">
        <f aca="false">D30*C30</f>
        <v>0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 t="s">
        <v>356</v>
      </c>
      <c r="B32" s="5" t="s">
        <v>119</v>
      </c>
      <c r="C32" s="6" t="n">
        <v>0.08</v>
      </c>
      <c r="D32" s="6" t="e">
        <f aca="false">#REF!</f>
        <v>#REF!</v>
      </c>
      <c r="E32" s="7" t="e">
        <f aca="false">D32*C32</f>
        <v>#REF!</v>
      </c>
      <c r="F32" s="8" t="e">
        <f aca="false">SUM(E32:E37)</f>
        <v>#REF!</v>
      </c>
      <c r="G32" s="8" t="n">
        <v>1100</v>
      </c>
      <c r="H32" s="9" t="e">
        <f aca="false">(G32-F32)/F32*100</f>
        <v>#REF!</v>
      </c>
    </row>
    <row r="33" customFormat="false" ht="15.75" hidden="false" customHeight="false" outlineLevel="0" collapsed="false">
      <c r="A33" s="4"/>
      <c r="B33" s="5" t="s">
        <v>357</v>
      </c>
      <c r="C33" s="6" t="n">
        <v>0.04</v>
      </c>
      <c r="D33" s="6" t="e">
        <f aca="false">#REF!</f>
        <v>#REF!</v>
      </c>
      <c r="E33" s="7" t="e">
        <f aca="false">D33*C33</f>
        <v>#REF!</v>
      </c>
      <c r="F33" s="8"/>
      <c r="G33" s="8"/>
      <c r="H33" s="8"/>
    </row>
    <row r="34" customFormat="false" ht="15.75" hidden="false" customHeight="false" outlineLevel="0" collapsed="false">
      <c r="A34" s="4"/>
      <c r="B34" s="5" t="s">
        <v>20</v>
      </c>
      <c r="C34" s="6" t="n">
        <v>0.04</v>
      </c>
      <c r="D34" s="6" t="e">
        <f aca="false">#REF!</f>
        <v>#REF!</v>
      </c>
      <c r="E34" s="7" t="e">
        <f aca="false">D34*C34</f>
        <v>#REF!</v>
      </c>
      <c r="F34" s="8"/>
      <c r="G34" s="8"/>
      <c r="H34" s="8"/>
    </row>
    <row r="35" customFormat="false" ht="15.75" hidden="false" customHeight="false" outlineLevel="0" collapsed="false">
      <c r="A35" s="4"/>
      <c r="B35" s="5" t="s">
        <v>358</v>
      </c>
      <c r="C35" s="6" t="n">
        <v>0.02</v>
      </c>
      <c r="D35" s="6" t="e">
        <f aca="false">#REF!</f>
        <v>#REF!</v>
      </c>
      <c r="E35" s="7" t="e">
        <f aca="false">D35*C35</f>
        <v>#REF!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 t="n">
        <f aca="false">SUM(E38:E43)</f>
        <v>0</v>
      </c>
      <c r="G38" s="8"/>
      <c r="H38" s="9" t="e">
        <f aca="false">(G38-F38)/F38*100</f>
        <v>#DIV/0!</v>
      </c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/>
      <c r="G39" s="8"/>
      <c r="H39" s="8"/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 t="n">
        <f aca="false">SUM(E44:E49)</f>
        <v>0</v>
      </c>
      <c r="G44" s="8"/>
      <c r="H44" s="9" t="e">
        <f aca="false">(G44-F44)/F44*100</f>
        <v>#DIV/0!</v>
      </c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/>
      <c r="G45" s="8"/>
      <c r="H45" s="8"/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 t="n">
        <f aca="false">SUM(E50:E55)</f>
        <v>0</v>
      </c>
      <c r="G50" s="8"/>
      <c r="H50" s="9" t="e">
        <f aca="false">(G50-F50)/F50*100</f>
        <v>#DIV/0!</v>
      </c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/>
      <c r="G51" s="8"/>
      <c r="H51" s="8"/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 t="n">
        <f aca="false">SUM(E56:E61)</f>
        <v>0</v>
      </c>
      <c r="G56" s="8"/>
      <c r="H56" s="9" t="e">
        <f aca="false">(G56-F56)/F56*100</f>
        <v>#DIV/0!</v>
      </c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/>
      <c r="G57" s="8"/>
      <c r="H57" s="8"/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10"/>
      <c r="B62" s="11"/>
      <c r="C62" s="12"/>
      <c r="D62" s="12"/>
      <c r="E62" s="7" t="n">
        <f aca="false">D62*C62</f>
        <v>0</v>
      </c>
      <c r="F62" s="12"/>
      <c r="G62" s="12"/>
      <c r="H62" s="12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12"/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B96" s="13"/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</row>
  </sheetData>
  <mergeCells count="40">
    <mergeCell ref="A2:A7"/>
    <mergeCell ref="F2:F7"/>
    <mergeCell ref="G2:G7"/>
    <mergeCell ref="H2:H7"/>
    <mergeCell ref="A8:A13"/>
    <mergeCell ref="F8:F13"/>
    <mergeCell ref="G8:G13"/>
    <mergeCell ref="H8:H13"/>
    <mergeCell ref="A14:A19"/>
    <mergeCell ref="F14:F19"/>
    <mergeCell ref="G14:G19"/>
    <mergeCell ref="H14:H19"/>
    <mergeCell ref="A20:A25"/>
    <mergeCell ref="F20:F25"/>
    <mergeCell ref="G20:G25"/>
    <mergeCell ref="H20:H25"/>
    <mergeCell ref="A26:A31"/>
    <mergeCell ref="F26:F31"/>
    <mergeCell ref="G26:G31"/>
    <mergeCell ref="H26:H31"/>
    <mergeCell ref="A32:A37"/>
    <mergeCell ref="F32:F37"/>
    <mergeCell ref="G32:G37"/>
    <mergeCell ref="H32:H37"/>
    <mergeCell ref="A38:A43"/>
    <mergeCell ref="F38:F43"/>
    <mergeCell ref="G38:G43"/>
    <mergeCell ref="H38:H43"/>
    <mergeCell ref="A44:A49"/>
    <mergeCell ref="F44:F49"/>
    <mergeCell ref="G44:G49"/>
    <mergeCell ref="H44:H49"/>
    <mergeCell ref="A50:A55"/>
    <mergeCell ref="F50:F55"/>
    <mergeCell ref="G50:G55"/>
    <mergeCell ref="H50:H55"/>
    <mergeCell ref="A56:A61"/>
    <mergeCell ref="F56:F61"/>
    <mergeCell ref="G56:G61"/>
    <mergeCell ref="H56:H6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359</v>
      </c>
      <c r="B2" s="5" t="s">
        <v>360</v>
      </c>
      <c r="C2" s="6" t="n">
        <v>0.03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361</v>
      </c>
      <c r="C3" s="6" t="n">
        <v>0.03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362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363</v>
      </c>
      <c r="C5" s="6" t="n">
        <v>0.04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364</v>
      </c>
      <c r="C6" s="6" t="n">
        <v>0.02</v>
      </c>
      <c r="D6" s="6" t="e">
        <f aca="false">#REF!</f>
        <v>#REF!</v>
      </c>
      <c r="E6" s="7" t="e">
        <f aca="false">D6*C6</f>
        <v>#REF!</v>
      </c>
      <c r="F6" s="8"/>
      <c r="G6" s="8"/>
      <c r="H6" s="8"/>
    </row>
    <row r="7" customFormat="false" ht="15.75" hidden="false" customHeight="false" outlineLevel="0" collapsed="false">
      <c r="A7" s="4"/>
      <c r="B7" s="5" t="s">
        <v>365</v>
      </c>
      <c r="C7" s="6" t="n">
        <v>0.06</v>
      </c>
      <c r="D7" s="6" t="e">
        <f aca="false">#REF!</f>
        <v>#REF!</v>
      </c>
      <c r="E7" s="7" t="e">
        <f aca="false">D7*C7</f>
        <v>#REF!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366</v>
      </c>
      <c r="B9" s="5" t="s">
        <v>367</v>
      </c>
      <c r="C9" s="6" t="n">
        <v>0.06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700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368</v>
      </c>
      <c r="C10" s="6" t="n">
        <v>0.06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5" t="s">
        <v>369</v>
      </c>
      <c r="C11" s="6" t="n">
        <v>0.03</v>
      </c>
      <c r="D11" s="6" t="n">
        <v>480</v>
      </c>
      <c r="E11" s="7" t="n">
        <f aca="false">D11*C11</f>
        <v>14.4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370</v>
      </c>
      <c r="C12" s="6" t="n">
        <v>0.06</v>
      </c>
      <c r="D12" s="6" t="e">
        <f aca="false">#REF!*2</f>
        <v>#VALUE!</v>
      </c>
      <c r="E12" s="7" t="e">
        <f aca="false">D12*C12</f>
        <v>#VALUE!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371</v>
      </c>
      <c r="C13" s="6" t="n">
        <v>0.02</v>
      </c>
      <c r="D13" s="6" t="e">
        <f aca="false">#REF!</f>
        <v>#REF!</v>
      </c>
      <c r="E13" s="7" t="e">
        <f aca="false">D13*C13</f>
        <v>#REF!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372</v>
      </c>
      <c r="B15" s="5" t="s">
        <v>17</v>
      </c>
      <c r="C15" s="6" t="n">
        <v>0.04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700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373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371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374</v>
      </c>
      <c r="C18" s="6" t="n">
        <v>0.02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375</v>
      </c>
      <c r="C19" s="6" t="n">
        <v>0.04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376</v>
      </c>
      <c r="B21" s="5" t="s">
        <v>329</v>
      </c>
      <c r="C21" s="6" t="n">
        <v>0.06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1200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377</v>
      </c>
      <c r="C22" s="6" t="n">
        <v>0.06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378</v>
      </c>
      <c r="C23" s="6" t="n">
        <v>0.04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/>
      <c r="C24" s="6"/>
      <c r="D24" s="6"/>
      <c r="E24" s="7" t="n">
        <f aca="false">D24*C24</f>
        <v>0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379</v>
      </c>
      <c r="B27" s="5" t="s">
        <v>17</v>
      </c>
      <c r="C27" s="6" t="n">
        <v>0.04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1100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380</v>
      </c>
      <c r="C28" s="6" t="n">
        <v>0.08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381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382</v>
      </c>
      <c r="C30" s="6" t="n">
        <v>0.04</v>
      </c>
      <c r="D30" s="6" t="e">
        <f aca="false">#REF!</f>
        <v>#REF!</v>
      </c>
      <c r="E30" s="7" t="e">
        <f aca="false">D30*C30</f>
        <v>#REF!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 t="n">
        <f aca="false">SUM(E33:E38)</f>
        <v>0</v>
      </c>
      <c r="G33" s="8"/>
      <c r="H33" s="9" t="e">
        <f aca="false">(G33-F33)/F33*100</f>
        <v>#DIV/0!</v>
      </c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383</v>
      </c>
      <c r="B2" s="5" t="s">
        <v>384</v>
      </c>
      <c r="C2" s="6" t="n">
        <v>0.01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385</v>
      </c>
      <c r="C3" s="6" t="n">
        <v>0.04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386</v>
      </c>
      <c r="C4" s="6" t="n">
        <v>0.01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387</v>
      </c>
      <c r="C5" s="6" t="n">
        <v>0.08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388</v>
      </c>
      <c r="C6" s="6" t="n">
        <v>0.02</v>
      </c>
      <c r="D6" s="6" t="e">
        <f aca="false">#REF!*2</f>
        <v>#VALUE!</v>
      </c>
      <c r="E6" s="7" t="e">
        <f aca="false">D6*C6</f>
        <v>#VALUE!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389</v>
      </c>
      <c r="B9" s="5" t="s">
        <v>390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700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391</v>
      </c>
      <c r="C10" s="6" t="n">
        <v>0.01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5" t="s">
        <v>195</v>
      </c>
      <c r="C11" s="6" t="n">
        <v>0.1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388</v>
      </c>
      <c r="C12" s="6" t="n">
        <v>0.02</v>
      </c>
      <c r="D12" s="6" t="e">
        <f aca="false">#REF!*2</f>
        <v>#VALUE!</v>
      </c>
      <c r="E12" s="7" t="e">
        <f aca="false">D12*C12</f>
        <v>#VALUE!</v>
      </c>
      <c r="F12" s="8"/>
      <c r="G12" s="8"/>
      <c r="H12" s="8"/>
    </row>
    <row r="13" customFormat="false" ht="15.75" hidden="false" customHeight="false" outlineLevel="0" collapsed="false">
      <c r="A13" s="4"/>
      <c r="B13" s="5"/>
      <c r="C13" s="6"/>
      <c r="D13" s="6"/>
      <c r="E13" s="7" t="n">
        <f aca="false">D13*C13</f>
        <v>0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392</v>
      </c>
      <c r="B15" s="5" t="s">
        <v>393</v>
      </c>
      <c r="C15" s="6" t="n">
        <v>0.02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700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394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395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387</v>
      </c>
      <c r="C18" s="6" t="n">
        <v>0.08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388</v>
      </c>
      <c r="C19" s="6" t="n">
        <v>0.02</v>
      </c>
      <c r="D19" s="6" t="e">
        <f aca="false">#REF!*2</f>
        <v>#VALUE!</v>
      </c>
      <c r="E19" s="7" t="e">
        <f aca="false">D19*C19</f>
        <v>#VALUE!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396</v>
      </c>
      <c r="B21" s="5" t="s">
        <v>397</v>
      </c>
      <c r="C21" s="6" t="n">
        <v>0.04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700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398</v>
      </c>
      <c r="C22" s="6" t="n">
        <v>0.02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399</v>
      </c>
      <c r="C23" s="6" t="n">
        <v>0.03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 t="s">
        <v>400</v>
      </c>
      <c r="C24" s="6" t="n">
        <v>0.06</v>
      </c>
      <c r="D24" s="6" t="e">
        <f aca="false">#REF!</f>
        <v>#REF!</v>
      </c>
      <c r="E24" s="7" t="e">
        <f aca="false">D24*C24</f>
        <v>#REF!</v>
      </c>
      <c r="F24" s="8"/>
      <c r="G24" s="8"/>
      <c r="H24" s="8"/>
    </row>
    <row r="25" customFormat="false" ht="15.75" hidden="false" customHeight="false" outlineLevel="0" collapsed="false">
      <c r="A25" s="4"/>
      <c r="B25" s="5" t="s">
        <v>388</v>
      </c>
      <c r="C25" s="6" t="n">
        <v>0.02</v>
      </c>
      <c r="D25" s="6" t="e">
        <f aca="false">#REF!*2</f>
        <v>#VALUE!</v>
      </c>
      <c r="E25" s="7" t="e">
        <f aca="false">D25*C25</f>
        <v>#VALUE!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401</v>
      </c>
      <c r="B27" s="5" t="s">
        <v>402</v>
      </c>
      <c r="C27" s="6" t="n">
        <v>0.04</v>
      </c>
      <c r="D27" s="6"/>
      <c r="E27" s="7" t="n">
        <f aca="false">D27*C27</f>
        <v>0</v>
      </c>
      <c r="F27" s="8" t="e">
        <f aca="false">SUM(E27:E32)</f>
        <v>#REF!</v>
      </c>
      <c r="G27" s="8" t="n">
        <v>700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403</v>
      </c>
      <c r="C28" s="6" t="n">
        <v>0.03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387</v>
      </c>
      <c r="C29" s="6" t="n">
        <v>0.08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388</v>
      </c>
      <c r="C30" s="6" t="n">
        <v>0.02</v>
      </c>
      <c r="D30" s="6" t="e">
        <f aca="false">#REF!*2</f>
        <v>#VALUE!</v>
      </c>
      <c r="E30" s="7" t="e">
        <f aca="false">D30*C30</f>
        <v>#VALUE!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 t="n">
        <f aca="false">SUM(E33:E38)</f>
        <v>0</v>
      </c>
      <c r="G33" s="8"/>
      <c r="H33" s="9" t="e">
        <f aca="false">(G33-F33)/F33*100</f>
        <v>#DIV/0!</v>
      </c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.25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404</v>
      </c>
      <c r="B2" s="5" t="s">
        <v>138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405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406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407</v>
      </c>
      <c r="C5" s="6" t="n">
        <v>0.03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408</v>
      </c>
      <c r="C6" s="6" t="n">
        <v>0.04</v>
      </c>
      <c r="D6" s="6" t="e">
        <f aca="false">#REF!</f>
        <v>#REF!</v>
      </c>
      <c r="E6" s="7" t="e">
        <f aca="false">D6*C6</f>
        <v>#REF!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409</v>
      </c>
      <c r="B9" s="5" t="s">
        <v>410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700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411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36" t="s">
        <v>412</v>
      </c>
      <c r="C11" s="6" t="n">
        <v>0.03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413</v>
      </c>
      <c r="C12" s="6" t="n">
        <v>0.03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414</v>
      </c>
      <c r="C13" s="6" t="n">
        <v>0.02</v>
      </c>
      <c r="D13" s="6" t="e">
        <f aca="false">#REF!</f>
        <v>#REF!</v>
      </c>
      <c r="E13" s="7" t="e">
        <f aca="false">D13*C13</f>
        <v>#REF!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415</v>
      </c>
      <c r="B15" s="5" t="s">
        <v>313</v>
      </c>
      <c r="C15" s="6" t="n">
        <v>0.04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700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416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417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413</v>
      </c>
      <c r="C18" s="6" t="n">
        <v>0.03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418</v>
      </c>
      <c r="C19" s="6" t="n">
        <v>0.02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419</v>
      </c>
      <c r="B21" s="5" t="s">
        <v>120</v>
      </c>
      <c r="C21" s="6" t="n">
        <v>0.08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1200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420</v>
      </c>
      <c r="C22" s="6" t="n">
        <v>0.03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421</v>
      </c>
      <c r="C23" s="6" t="n">
        <v>0.02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 t="s">
        <v>422</v>
      </c>
      <c r="C24" s="6" t="n">
        <v>0.03</v>
      </c>
      <c r="D24" s="6" t="e">
        <f aca="false">#REF!</f>
        <v>#REF!</v>
      </c>
      <c r="E24" s="7" t="e">
        <f aca="false">D24*C24</f>
        <v>#REF!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423</v>
      </c>
      <c r="B27" s="5" t="s">
        <v>424</v>
      </c>
      <c r="C27" s="6" t="n">
        <v>0.05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1200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425</v>
      </c>
      <c r="C28" s="6" t="n">
        <v>0.03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426</v>
      </c>
      <c r="C29" s="6" t="n">
        <v>0.02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427</v>
      </c>
      <c r="C30" s="6" t="n">
        <v>0.02</v>
      </c>
      <c r="D30" s="6" t="e">
        <f aca="false">#REF!</f>
        <v>#REF!</v>
      </c>
      <c r="E30" s="7" t="e">
        <f aca="false">D30*C30</f>
        <v>#REF!</v>
      </c>
      <c r="F30" s="8"/>
      <c r="G30" s="8"/>
      <c r="H30" s="8"/>
    </row>
    <row r="31" customFormat="false" ht="15.75" hidden="false" customHeight="false" outlineLevel="0" collapsed="false">
      <c r="A31" s="4"/>
      <c r="B31" s="5" t="s">
        <v>428</v>
      </c>
      <c r="C31" s="6" t="n">
        <v>0.04</v>
      </c>
      <c r="D31" s="6" t="e">
        <f aca="false">#REF!</f>
        <v>#REF!</v>
      </c>
      <c r="E31" s="7" t="e">
        <f aca="false">D31*C31</f>
        <v>#REF!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 t="n">
        <f aca="false">SUM(E33:E38)</f>
        <v>0</v>
      </c>
      <c r="G33" s="8"/>
      <c r="H33" s="9" t="e">
        <f aca="false">(G33-F33)/F33*100</f>
        <v>#DIV/0!</v>
      </c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429</v>
      </c>
      <c r="B2" s="5" t="s">
        <v>337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650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430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431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432</v>
      </c>
      <c r="C5" s="6" t="n">
        <v>0.02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433</v>
      </c>
      <c r="C6" s="6" t="n">
        <v>0.08</v>
      </c>
      <c r="D6" s="6" t="e">
        <f aca="false">#REF!</f>
        <v>#REF!</v>
      </c>
      <c r="E6" s="7" t="e">
        <f aca="false">D6*C6</f>
        <v>#REF!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434</v>
      </c>
      <c r="B9" s="5" t="s">
        <v>138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600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338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24" t="s">
        <v>435</v>
      </c>
      <c r="C11" s="6" t="n">
        <v>0.04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431</v>
      </c>
      <c r="C12" s="6" t="n">
        <v>0.02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436</v>
      </c>
      <c r="C13" s="6" t="n">
        <v>0.06</v>
      </c>
      <c r="D13" s="6" t="e">
        <f aca="false">#REF!</f>
        <v>#REF!</v>
      </c>
      <c r="E13" s="7" t="e">
        <f aca="false">D13*C13</f>
        <v>#REF!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437</v>
      </c>
      <c r="B15" s="5" t="s">
        <v>17</v>
      </c>
      <c r="C15" s="6" t="n">
        <v>0.04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700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161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438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439</v>
      </c>
      <c r="C18" s="6" t="n">
        <v>0.03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440</v>
      </c>
      <c r="C19" s="6" t="n">
        <v>0.5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441</v>
      </c>
      <c r="B21" s="5" t="s">
        <v>442</v>
      </c>
      <c r="C21" s="6" t="n">
        <v>0.06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1100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329</v>
      </c>
      <c r="C22" s="6" t="n">
        <v>0.06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443</v>
      </c>
      <c r="C23" s="6" t="n">
        <v>0.04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/>
      <c r="C24" s="6"/>
      <c r="D24" s="6"/>
      <c r="E24" s="7" t="n">
        <f aca="false">D24*C24</f>
        <v>0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444</v>
      </c>
      <c r="B27" s="5" t="s">
        <v>445</v>
      </c>
      <c r="C27" s="6" t="n">
        <v>0.06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1000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446</v>
      </c>
      <c r="C28" s="6" t="n">
        <v>0.04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447</v>
      </c>
      <c r="C29" s="6" t="n">
        <v>0.03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431</v>
      </c>
      <c r="C30" s="6" t="n">
        <v>0.02</v>
      </c>
      <c r="D30" s="6" t="e">
        <f aca="false">#REF!</f>
        <v>#REF!</v>
      </c>
      <c r="E30" s="7" t="e">
        <f aca="false">D30*C30</f>
        <v>#REF!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 t="n">
        <f aca="false">SUM(E33:E38)</f>
        <v>0</v>
      </c>
      <c r="G33" s="8"/>
      <c r="H33" s="9" t="e">
        <f aca="false">(G33-F33)/F33*100</f>
        <v>#DIV/0!</v>
      </c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448</v>
      </c>
      <c r="B2" s="5" t="s">
        <v>449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650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450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451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432</v>
      </c>
      <c r="C5" s="6" t="n">
        <v>0.02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/>
      <c r="C6" s="6"/>
      <c r="D6" s="6"/>
      <c r="E6" s="7" t="n">
        <f aca="false">D6*C6</f>
        <v>0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452</v>
      </c>
      <c r="B9" s="5" t="s">
        <v>17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650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438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24" t="s">
        <v>453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30</v>
      </c>
      <c r="C12" s="6" t="n">
        <v>0.04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388</v>
      </c>
      <c r="C13" s="6" t="n">
        <v>0.02</v>
      </c>
      <c r="D13" s="6" t="n">
        <v>79</v>
      </c>
      <c r="E13" s="7" t="n">
        <f aca="false">D13*C13</f>
        <v>1.58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454</v>
      </c>
      <c r="B15" s="5" t="s">
        <v>194</v>
      </c>
      <c r="C15" s="6" t="n">
        <v>0.03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650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455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456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20</v>
      </c>
      <c r="C18" s="6" t="n">
        <v>0.02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457</v>
      </c>
      <c r="C19" s="6" t="n">
        <v>0.02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false" customHeight="false" outlineLevel="0" collapsed="false">
      <c r="A20" s="4"/>
      <c r="B20" s="5" t="s">
        <v>432</v>
      </c>
      <c r="C20" s="6" t="n">
        <v>0.02</v>
      </c>
      <c r="D20" s="6" t="e">
        <f aca="false">#REF!</f>
        <v>#REF!</v>
      </c>
      <c r="E20" s="7" t="e">
        <f aca="false">D20*C20</f>
        <v>#REF!</v>
      </c>
      <c r="F20" s="8"/>
      <c r="G20" s="8"/>
      <c r="H20" s="8"/>
    </row>
    <row r="21" customFormat="false" ht="15.75" hidden="false" customHeight="false" outlineLevel="0" collapsed="false">
      <c r="A21" s="4" t="s">
        <v>458</v>
      </c>
      <c r="B21" s="5" t="s">
        <v>459</v>
      </c>
      <c r="C21" s="6" t="n">
        <v>0.06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1000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460</v>
      </c>
      <c r="C22" s="6" t="n">
        <v>0.03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461</v>
      </c>
      <c r="C23" s="6" t="n">
        <v>0.03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 t="s">
        <v>462</v>
      </c>
      <c r="C24" s="6" t="n">
        <v>0.04</v>
      </c>
      <c r="D24" s="6" t="e">
        <f aca="false">#REF!</f>
        <v>#REF!</v>
      </c>
      <c r="E24" s="7" t="e">
        <f aca="false">D24*C24</f>
        <v>#REF!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463</v>
      </c>
      <c r="B27" s="5" t="s">
        <v>464</v>
      </c>
      <c r="C27" s="6" t="n">
        <v>0.08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1200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465</v>
      </c>
      <c r="C28" s="6" t="n">
        <v>0.04</v>
      </c>
      <c r="D28" s="6" t="n">
        <v>1100</v>
      </c>
      <c r="E28" s="7" t="n">
        <f aca="false">D28*C28</f>
        <v>44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466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467</v>
      </c>
      <c r="C30" s="6" t="n">
        <v>0.001</v>
      </c>
      <c r="D30" s="6" t="n">
        <v>1500</v>
      </c>
      <c r="E30" s="7" t="n">
        <f aca="false">D30*C30</f>
        <v>1.5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 t="s">
        <v>468</v>
      </c>
      <c r="B33" s="5" t="s">
        <v>469</v>
      </c>
      <c r="C33" s="6" t="n">
        <v>0.05</v>
      </c>
      <c r="D33" s="6" t="e">
        <f aca="false">#REF!</f>
        <v>#REF!</v>
      </c>
      <c r="E33" s="7" t="e">
        <f aca="false">D33*C33</f>
        <v>#REF!</v>
      </c>
      <c r="F33" s="8" t="e">
        <f aca="false">SUM(E33:E38)</f>
        <v>#REF!</v>
      </c>
      <c r="G33" s="8" t="n">
        <v>1100</v>
      </c>
      <c r="H33" s="9" t="e">
        <f aca="false">(G33-F33)/F33*100</f>
        <v>#REF!</v>
      </c>
    </row>
    <row r="34" customFormat="false" ht="15.75" hidden="false" customHeight="false" outlineLevel="0" collapsed="false">
      <c r="A34" s="4"/>
      <c r="B34" s="5" t="s">
        <v>470</v>
      </c>
      <c r="C34" s="6" t="n">
        <v>0.03</v>
      </c>
      <c r="D34" s="6" t="e">
        <f aca="false">#REF!</f>
        <v>#REF!</v>
      </c>
      <c r="E34" s="7" t="e">
        <f aca="false">D34*C34</f>
        <v>#REF!</v>
      </c>
      <c r="F34" s="8"/>
      <c r="G34" s="8"/>
      <c r="H34" s="8"/>
    </row>
    <row r="35" customFormat="false" ht="15.75" hidden="false" customHeight="false" outlineLevel="0" collapsed="false">
      <c r="A35" s="4"/>
      <c r="B35" s="5" t="s">
        <v>471</v>
      </c>
      <c r="C35" s="6" t="n">
        <v>0.04</v>
      </c>
      <c r="D35" s="6" t="e">
        <f aca="false">#REF!</f>
        <v>#REF!</v>
      </c>
      <c r="E35" s="7" t="e">
        <f aca="false">D35*C35</f>
        <v>#REF!</v>
      </c>
      <c r="F35" s="8"/>
      <c r="G35" s="8"/>
      <c r="H35" s="8"/>
    </row>
    <row r="36" customFormat="false" ht="15.75" hidden="false" customHeight="false" outlineLevel="0" collapsed="false">
      <c r="A36" s="4"/>
      <c r="B36" s="5" t="s">
        <v>472</v>
      </c>
      <c r="C36" s="6" t="n">
        <v>0.04</v>
      </c>
      <c r="D36" s="6" t="e">
        <f aca="false">#REF!</f>
        <v>#REF!</v>
      </c>
      <c r="E36" s="7" t="e">
        <f aca="false">D36*C36</f>
        <v>#REF!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6.74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473</v>
      </c>
      <c r="B2" s="5" t="s">
        <v>474</v>
      </c>
      <c r="C2" s="6" t="n">
        <v>0.026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475</v>
      </c>
      <c r="C3" s="6" t="n">
        <v>0.026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400</v>
      </c>
      <c r="C4" s="6" t="n">
        <v>0.06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388</v>
      </c>
      <c r="C5" s="6" t="n">
        <v>0.02</v>
      </c>
      <c r="D5" s="6" t="n">
        <v>79</v>
      </c>
      <c r="E5" s="7" t="n">
        <f aca="false">D5*C5</f>
        <v>1.58</v>
      </c>
      <c r="F5" s="8"/>
      <c r="G5" s="8"/>
      <c r="H5" s="8"/>
    </row>
    <row r="6" customFormat="false" ht="15.75" hidden="false" customHeight="false" outlineLevel="0" collapsed="false">
      <c r="A6" s="4"/>
      <c r="B6" s="5"/>
      <c r="C6" s="6"/>
      <c r="D6" s="6"/>
      <c r="E6" s="7" t="n">
        <f aca="false">D6*C6</f>
        <v>0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476</v>
      </c>
      <c r="B9" s="5" t="s">
        <v>469</v>
      </c>
      <c r="C9" s="6" t="n">
        <v>0.05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600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477</v>
      </c>
      <c r="C10" s="6" t="n">
        <v>0.03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24" t="s">
        <v>478</v>
      </c>
      <c r="C11" s="6" t="n">
        <v>0.03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479</v>
      </c>
      <c r="C12" s="6" t="n">
        <v>0.05</v>
      </c>
      <c r="D12" s="6" t="n">
        <v>79</v>
      </c>
      <c r="E12" s="7" t="n">
        <f aca="false">D12*C12</f>
        <v>3.95</v>
      </c>
      <c r="F12" s="8"/>
      <c r="G12" s="8"/>
      <c r="H12" s="8"/>
    </row>
    <row r="13" customFormat="false" ht="15.75" hidden="false" customHeight="false" outlineLevel="0" collapsed="false">
      <c r="A13" s="4"/>
      <c r="B13" s="5"/>
      <c r="C13" s="6"/>
      <c r="D13" s="6"/>
      <c r="E13" s="7" t="n">
        <f aca="false">D13*C13</f>
        <v>0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480</v>
      </c>
      <c r="B15" s="5" t="s">
        <v>319</v>
      </c>
      <c r="C15" s="6" t="n">
        <v>0.04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650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481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321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317</v>
      </c>
      <c r="C18" s="6" t="n">
        <v>0.02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11</v>
      </c>
      <c r="C19" s="6" t="n">
        <v>0.06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482</v>
      </c>
      <c r="B21" s="5" t="s">
        <v>23</v>
      </c>
      <c r="C21" s="6" t="n">
        <v>0.06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900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483</v>
      </c>
      <c r="C22" s="6" t="n">
        <v>0.04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368</v>
      </c>
      <c r="C23" s="6" t="n">
        <v>0.03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 t="s">
        <v>484</v>
      </c>
      <c r="C24" s="6" t="n">
        <v>0.03</v>
      </c>
      <c r="D24" s="6" t="e">
        <f aca="false">#REF!</f>
        <v>#REF!</v>
      </c>
      <c r="E24" s="7" t="e">
        <f aca="false">D24*C24</f>
        <v>#REF!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485</v>
      </c>
      <c r="B27" s="5" t="s">
        <v>367</v>
      </c>
      <c r="C27" s="6" t="n">
        <v>0.06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900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357</v>
      </c>
      <c r="C28" s="6" t="n">
        <v>0.04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368</v>
      </c>
      <c r="C29" s="6" t="n">
        <v>0.03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486</v>
      </c>
      <c r="C30" s="6" t="n">
        <v>0.03</v>
      </c>
      <c r="D30" s="6" t="e">
        <f aca="false">#REF!</f>
        <v>#REF!</v>
      </c>
      <c r="E30" s="7" t="e">
        <f aca="false">D30*C30</f>
        <v>#REF!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 t="n">
        <f aca="false">SUM(E33:E38)</f>
        <v>0</v>
      </c>
      <c r="G33" s="8" t="n">
        <v>1100</v>
      </c>
      <c r="H33" s="9" t="e">
        <f aca="false">(G33-F33)/F33*100</f>
        <v>#DIV/0!</v>
      </c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6.74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487</v>
      </c>
      <c r="B2" s="5" t="s">
        <v>17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488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363</v>
      </c>
      <c r="C4" s="6" t="n">
        <v>0.04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489</v>
      </c>
      <c r="C5" s="6" t="n">
        <v>0.02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490</v>
      </c>
      <c r="C6" s="6" t="n">
        <v>0.04</v>
      </c>
      <c r="D6" s="6" t="n">
        <v>80</v>
      </c>
      <c r="E6" s="7" t="n">
        <f aca="false">D6*C6</f>
        <v>3.2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491</v>
      </c>
      <c r="B9" s="5" t="s">
        <v>138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600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492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24" t="s">
        <v>338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432</v>
      </c>
      <c r="C12" s="6" t="n">
        <v>0.02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20</v>
      </c>
      <c r="C13" s="6" t="n">
        <v>0.02</v>
      </c>
      <c r="D13" s="6" t="e">
        <f aca="false">#REF!</f>
        <v>#REF!</v>
      </c>
      <c r="E13" s="7" t="e">
        <f aca="false">D13*C13</f>
        <v>#REF!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493</v>
      </c>
      <c r="B15" s="5" t="s">
        <v>494</v>
      </c>
      <c r="C15" s="6" t="n">
        <v>0.03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650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495</v>
      </c>
      <c r="C16" s="6" t="n">
        <v>0.025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496</v>
      </c>
      <c r="C17" s="6" t="n">
        <v>0.025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497</v>
      </c>
      <c r="C18" s="6" t="n">
        <v>0.01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/>
      <c r="C19" s="6"/>
      <c r="D19" s="6"/>
      <c r="E19" s="7" t="n">
        <f aca="false">D19*C19</f>
        <v>0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498</v>
      </c>
      <c r="B21" s="5" t="s">
        <v>499</v>
      </c>
      <c r="C21" s="6" t="n">
        <v>0.03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900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500</v>
      </c>
      <c r="C22" s="6" t="n">
        <v>0.03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371</v>
      </c>
      <c r="C23" s="6" t="n">
        <v>0.02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 t="s">
        <v>163</v>
      </c>
      <c r="C24" s="6" t="n">
        <v>0.04</v>
      </c>
      <c r="D24" s="6" t="e">
        <f aca="false">#REF!</f>
        <v>#REF!</v>
      </c>
      <c r="E24" s="7" t="e">
        <f aca="false">D24*C24</f>
        <v>#REF!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501</v>
      </c>
      <c r="B27" s="5" t="s">
        <v>502</v>
      </c>
      <c r="C27" s="6" t="n">
        <v>0.06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900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503</v>
      </c>
      <c r="C28" s="6" t="n">
        <v>0.06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504</v>
      </c>
      <c r="C29" s="6" t="n">
        <v>0.02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/>
      <c r="C30" s="6"/>
      <c r="D30" s="6"/>
      <c r="E30" s="7" t="n">
        <f aca="false">D30*C30</f>
        <v>0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 t="s">
        <v>505</v>
      </c>
      <c r="B33" s="5" t="s">
        <v>29</v>
      </c>
      <c r="C33" s="6" t="n">
        <v>0.06</v>
      </c>
      <c r="D33" s="6" t="e">
        <f aca="false">#REF!</f>
        <v>#REF!</v>
      </c>
      <c r="E33" s="7" t="e">
        <f aca="false">D33*C33</f>
        <v>#REF!</v>
      </c>
      <c r="F33" s="8" t="e">
        <f aca="false">SUM(E33:E38)</f>
        <v>#REF!</v>
      </c>
      <c r="G33" s="8" t="n">
        <v>1100</v>
      </c>
      <c r="H33" s="9" t="e">
        <f aca="false">(G33-F33)/F33*100</f>
        <v>#REF!</v>
      </c>
    </row>
    <row r="34" customFormat="false" ht="15.75" hidden="false" customHeight="false" outlineLevel="0" collapsed="false">
      <c r="A34" s="4"/>
      <c r="B34" s="5" t="s">
        <v>506</v>
      </c>
      <c r="C34" s="6" t="n">
        <v>0.06</v>
      </c>
      <c r="D34" s="6" t="e">
        <f aca="false">#REF!</f>
        <v>#REF!</v>
      </c>
      <c r="E34" s="7" t="e">
        <f aca="false">D34*C34</f>
        <v>#REF!</v>
      </c>
      <c r="F34" s="8"/>
      <c r="G34" s="8"/>
      <c r="H34" s="8"/>
    </row>
    <row r="35" customFormat="false" ht="15.75" hidden="false" customHeight="false" outlineLevel="0" collapsed="false">
      <c r="A35" s="4"/>
      <c r="B35" s="5" t="s">
        <v>138</v>
      </c>
      <c r="C35" s="6" t="n">
        <v>0.04</v>
      </c>
      <c r="D35" s="6" t="e">
        <f aca="false">#REF!</f>
        <v>#REF!</v>
      </c>
      <c r="E35" s="7" t="e">
        <f aca="false">D35*C35</f>
        <v>#REF!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6.74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507</v>
      </c>
      <c r="B2" s="5" t="s">
        <v>138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600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508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317</v>
      </c>
      <c r="C4" s="6" t="n">
        <v>0.04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509</v>
      </c>
      <c r="C5" s="6" t="n">
        <v>0.02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510</v>
      </c>
      <c r="C6" s="6" t="n">
        <v>0.03</v>
      </c>
      <c r="D6" s="6" t="n">
        <v>80</v>
      </c>
      <c r="E6" s="7" t="n">
        <f aca="false">D6*C6</f>
        <v>2.4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511</v>
      </c>
      <c r="B9" s="5" t="s">
        <v>512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600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513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24" t="s">
        <v>20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514</v>
      </c>
      <c r="C12" s="6" t="n">
        <v>0.02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515</v>
      </c>
      <c r="C13" s="6" t="n">
        <v>0.025</v>
      </c>
      <c r="D13" s="6" t="e">
        <f aca="false">#REF!</f>
        <v>#REF!</v>
      </c>
      <c r="E13" s="7" t="e">
        <f aca="false">D13*C13</f>
        <v>#REF!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516</v>
      </c>
      <c r="B15" s="5" t="s">
        <v>517</v>
      </c>
      <c r="C15" s="6" t="n">
        <v>0.04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600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518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20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358</v>
      </c>
      <c r="C18" s="6" t="n">
        <v>0.02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519</v>
      </c>
      <c r="C19" s="6" t="n">
        <v>0.06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520</v>
      </c>
      <c r="B21" s="5" t="s">
        <v>521</v>
      </c>
      <c r="C21" s="6" t="n">
        <v>0.06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1100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357</v>
      </c>
      <c r="C22" s="6" t="n">
        <v>0.04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522</v>
      </c>
      <c r="C23" s="6" t="n">
        <v>0.04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 t="s">
        <v>523</v>
      </c>
      <c r="C24" s="6" t="n">
        <v>0.04</v>
      </c>
      <c r="D24" s="6" t="e">
        <f aca="false">#REF!</f>
        <v>#REF!</v>
      </c>
      <c r="E24" s="7" t="e">
        <f aca="false">D24*C24</f>
        <v>#REF!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524</v>
      </c>
      <c r="B27" s="5" t="s">
        <v>28</v>
      </c>
      <c r="C27" s="6" t="n">
        <v>0.06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1000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525</v>
      </c>
      <c r="C28" s="6" t="n">
        <v>0.04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317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371</v>
      </c>
      <c r="C30" s="6" t="n">
        <v>0.02</v>
      </c>
      <c r="D30" s="6" t="e">
        <f aca="false">#REF!</f>
        <v>#REF!</v>
      </c>
      <c r="E30" s="7" t="e">
        <f aca="false">D30*C30</f>
        <v>#REF!</v>
      </c>
      <c r="F30" s="8"/>
      <c r="G30" s="8"/>
      <c r="H30" s="8"/>
    </row>
    <row r="31" customFormat="false" ht="15.75" hidden="false" customHeight="false" outlineLevel="0" collapsed="false">
      <c r="A31" s="4"/>
      <c r="B31" s="5" t="s">
        <v>338</v>
      </c>
      <c r="C31" s="6" t="n">
        <v>0.02</v>
      </c>
      <c r="D31" s="6" t="e">
        <f aca="false">#REF!</f>
        <v>#REF!</v>
      </c>
      <c r="E31" s="7" t="e">
        <f aca="false">D31*C31</f>
        <v>#REF!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 t="n">
        <f aca="false">SUM(E33:E38)</f>
        <v>0</v>
      </c>
      <c r="G33" s="8" t="n">
        <v>1100</v>
      </c>
      <c r="H33" s="9" t="e">
        <f aca="false">(G33-F33)/F33*100</f>
        <v>#DIV/0!</v>
      </c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6.74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526</v>
      </c>
      <c r="B2" s="5" t="s">
        <v>527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650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528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529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530</v>
      </c>
      <c r="C5" s="6" t="n">
        <v>0.02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531</v>
      </c>
      <c r="C6" s="6" t="n">
        <v>0.02</v>
      </c>
      <c r="D6" s="6" t="e">
        <f aca="false">#REF!</f>
        <v>#REF!</v>
      </c>
      <c r="E6" s="7" t="e">
        <f aca="false">D6*C6</f>
        <v>#REF!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532</v>
      </c>
      <c r="B9" s="5" t="s">
        <v>533</v>
      </c>
      <c r="C9" s="6" t="n">
        <v>0.026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700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534</v>
      </c>
      <c r="C10" s="6" t="n">
        <v>0.026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24" t="s">
        <v>535</v>
      </c>
      <c r="C11" s="6" t="n">
        <v>0.06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536</v>
      </c>
      <c r="C12" s="6" t="n">
        <v>0.03</v>
      </c>
      <c r="D12" s="6" t="n">
        <v>80</v>
      </c>
      <c r="E12" s="7" t="n">
        <f aca="false">D12*C12</f>
        <v>2.4</v>
      </c>
      <c r="F12" s="8"/>
      <c r="G12" s="8"/>
      <c r="H12" s="8"/>
    </row>
    <row r="13" customFormat="false" ht="15.75" hidden="false" customHeight="false" outlineLevel="0" collapsed="false">
      <c r="A13" s="4"/>
      <c r="B13" s="5"/>
      <c r="C13" s="6"/>
      <c r="D13" s="6"/>
      <c r="E13" s="7" t="n">
        <f aca="false">D13*C13</f>
        <v>0</v>
      </c>
      <c r="F13" s="8"/>
      <c r="G13" s="8"/>
      <c r="H13" s="8"/>
    </row>
    <row r="14" customFormat="false" ht="15.75" hidden="false" customHeight="false" outlineLevel="0" collapsed="false">
      <c r="A14" s="4"/>
      <c r="B14" s="5"/>
      <c r="C14" s="6"/>
      <c r="D14" s="6"/>
      <c r="E14" s="7" t="n">
        <f aca="false">D14*C14</f>
        <v>0</v>
      </c>
      <c r="F14" s="8"/>
      <c r="G14" s="8"/>
      <c r="H14" s="8"/>
    </row>
    <row r="15" customFormat="false" ht="15.75" hidden="false" customHeight="false" outlineLevel="0" collapsed="false">
      <c r="A15" s="4" t="s">
        <v>537</v>
      </c>
      <c r="B15" s="5" t="s">
        <v>538</v>
      </c>
      <c r="C15" s="6" t="n">
        <v>0.04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 t="n">
        <v>600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539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529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540</v>
      </c>
      <c r="C18" s="6" t="n">
        <v>0.02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541</v>
      </c>
      <c r="C19" s="6" t="n">
        <v>0.04</v>
      </c>
      <c r="D19" s="6" t="n">
        <v>80</v>
      </c>
      <c r="E19" s="7" t="n">
        <f aca="false">D19*C19</f>
        <v>3.2</v>
      </c>
      <c r="F19" s="8"/>
      <c r="G19" s="8"/>
      <c r="H19" s="8"/>
    </row>
    <row r="20" customFormat="false" ht="15.75" hidden="false" customHeight="false" outlineLevel="0" collapsed="false">
      <c r="A20" s="4"/>
      <c r="B20" s="5"/>
      <c r="C20" s="6"/>
      <c r="D20" s="6"/>
      <c r="E20" s="7" t="n">
        <f aca="false">D20*C20</f>
        <v>0</v>
      </c>
      <c r="F20" s="8"/>
      <c r="G20" s="8"/>
      <c r="H20" s="8"/>
    </row>
    <row r="21" customFormat="false" ht="15.75" hidden="false" customHeight="false" outlineLevel="0" collapsed="false">
      <c r="A21" s="4" t="s">
        <v>542</v>
      </c>
      <c r="B21" s="5" t="s">
        <v>543</v>
      </c>
      <c r="C21" s="6" t="n">
        <v>0.06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1200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544</v>
      </c>
      <c r="C22" s="6" t="n">
        <v>0.06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527</v>
      </c>
      <c r="C23" s="6" t="n">
        <v>0.04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/>
      <c r="C24" s="6"/>
      <c r="D24" s="6"/>
      <c r="E24" s="7" t="n">
        <f aca="false">D24*C24</f>
        <v>0</v>
      </c>
      <c r="F24" s="8"/>
      <c r="G24" s="8"/>
      <c r="H24" s="8"/>
    </row>
    <row r="25" customFormat="false" ht="15.75" hidden="false" customHeight="false" outlineLevel="0" collapsed="false">
      <c r="A25" s="4"/>
      <c r="B25" s="5"/>
      <c r="C25" s="6"/>
      <c r="D25" s="6"/>
      <c r="E25" s="7" t="n">
        <f aca="false">D25*C25</f>
        <v>0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 t="s">
        <v>545</v>
      </c>
      <c r="B27" s="5" t="s">
        <v>546</v>
      </c>
      <c r="C27" s="6" t="n">
        <v>0.06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 t="n">
        <v>1100</v>
      </c>
      <c r="H27" s="9" t="e">
        <f aca="false">(G27-F27)/F27*100</f>
        <v>#REF!</v>
      </c>
    </row>
    <row r="28" customFormat="false" ht="15.75" hidden="false" customHeight="false" outlineLevel="0" collapsed="false">
      <c r="A28" s="4"/>
      <c r="B28" s="5" t="s">
        <v>547</v>
      </c>
      <c r="C28" s="6" t="n">
        <v>0.04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false" customHeight="false" outlineLevel="0" collapsed="false">
      <c r="A29" s="4"/>
      <c r="B29" s="5" t="s">
        <v>548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549</v>
      </c>
      <c r="C30" s="6" t="n">
        <v>0.04</v>
      </c>
      <c r="D30" s="6" t="e">
        <f aca="false">#REF!</f>
        <v>#REF!</v>
      </c>
      <c r="E30" s="7" t="e">
        <f aca="false">D30*C30</f>
        <v>#REF!</v>
      </c>
      <c r="F30" s="8"/>
      <c r="G30" s="8"/>
      <c r="H30" s="8"/>
    </row>
    <row r="31" customFormat="false" ht="15.75" hidden="false" customHeight="false" outlineLevel="0" collapsed="false">
      <c r="A31" s="4"/>
      <c r="B31" s="5"/>
      <c r="C31" s="6"/>
      <c r="D31" s="6"/>
      <c r="E31" s="7" t="n">
        <f aca="false">D31*C31</f>
        <v>0</v>
      </c>
      <c r="F31" s="8"/>
      <c r="G31" s="8"/>
      <c r="H31" s="8"/>
    </row>
    <row r="32" customFormat="false" ht="15.75" hidden="fals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 t="n">
        <f aca="false">SUM(E33:E38)</f>
        <v>0</v>
      </c>
      <c r="G33" s="8" t="n">
        <v>1100</v>
      </c>
      <c r="H33" s="9" t="e">
        <f aca="false">(G33-F33)/F33*100</f>
        <v>#DIV/0!</v>
      </c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/>
      <c r="G34" s="8"/>
      <c r="H34" s="8"/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 t="n">
        <f aca="false">SUM(E39:E44)</f>
        <v>0</v>
      </c>
      <c r="G39" s="8"/>
      <c r="H39" s="9" t="e">
        <f aca="false">(G39-F39)/F39*100</f>
        <v>#DIV/0!</v>
      </c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/>
      <c r="G40" s="8"/>
      <c r="H40" s="8"/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 t="n">
        <f aca="false">SUM(E45:E50)</f>
        <v>0</v>
      </c>
      <c r="G45" s="8"/>
      <c r="H45" s="9" t="e">
        <f aca="false">(G45-F45)/F45*100</f>
        <v>#DIV/0!</v>
      </c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/>
      <c r="G46" s="8"/>
      <c r="H46" s="8"/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 t="n">
        <f aca="false">SUM(E51:E56)</f>
        <v>0</v>
      </c>
      <c r="G51" s="8"/>
      <c r="H51" s="9" t="e">
        <f aca="false">(G51-F51)/F51*100</f>
        <v>#DIV/0!</v>
      </c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/>
      <c r="G52" s="8"/>
      <c r="H52" s="8"/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 t="n">
        <f aca="false">SUM(E57:E62)</f>
        <v>0</v>
      </c>
      <c r="G57" s="8"/>
      <c r="H57" s="9" t="e">
        <f aca="false">(G57-F57)/F57*100</f>
        <v>#DIV/0!</v>
      </c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/>
      <c r="G58" s="8"/>
      <c r="H58" s="8"/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10"/>
      <c r="B63" s="11"/>
      <c r="C63" s="12"/>
      <c r="D63" s="12"/>
      <c r="E63" s="7" t="n">
        <f aca="false">D63*C63</f>
        <v>0</v>
      </c>
      <c r="F63" s="12"/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false" outlineLevel="0" collapsed="false">
      <c r="A64" s="10"/>
      <c r="B64" s="11"/>
      <c r="C64" s="12"/>
      <c r="D64" s="12"/>
      <c r="E64" s="7" t="n">
        <f aca="false">D64*C64</f>
        <v>0</v>
      </c>
      <c r="F64" s="12"/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false" outlineLevel="0" collapsed="false">
      <c r="A65" s="10"/>
      <c r="B65" s="11"/>
      <c r="C65" s="12"/>
      <c r="D65" s="12"/>
      <c r="E65" s="7" t="n">
        <f aca="false">D65*C65</f>
        <v>0</v>
      </c>
      <c r="F65" s="12"/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false" outlineLevel="0" collapsed="false">
      <c r="A66" s="10"/>
      <c r="B66" s="11"/>
      <c r="C66" s="12"/>
      <c r="D66" s="12"/>
      <c r="E66" s="7" t="n">
        <f aca="false">D66*C66</f>
        <v>0</v>
      </c>
      <c r="F66" s="12"/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false" outlineLevel="0" collapsed="false">
      <c r="A67" s="10"/>
      <c r="B67" s="11"/>
      <c r="C67" s="12"/>
      <c r="D67" s="12"/>
      <c r="E67" s="7" t="n">
        <f aca="false">D67*C67</f>
        <v>0</v>
      </c>
      <c r="F67" s="12"/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false" outlineLevel="0" collapsed="false">
      <c r="A68" s="10"/>
      <c r="B68" s="11"/>
      <c r="C68" s="12"/>
      <c r="D68" s="12"/>
      <c r="E68" s="7" t="n">
        <f aca="false">D68*C68</f>
        <v>0</v>
      </c>
      <c r="F68" s="12"/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false" outlineLevel="0" collapsed="false">
      <c r="A69" s="10"/>
      <c r="B69" s="11"/>
      <c r="C69" s="12"/>
      <c r="D69" s="12"/>
      <c r="E69" s="7" t="n">
        <f aca="false">D69*C69</f>
        <v>0</v>
      </c>
      <c r="F69" s="12"/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7" t="n">
        <f aca="false">D71*C71</f>
        <v>0</v>
      </c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7" t="n">
        <f aca="false">D72*C72</f>
        <v>0</v>
      </c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7" t="n">
        <f aca="false">D73*C73</f>
        <v>0</v>
      </c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7" t="n">
        <f aca="false">D74*C74</f>
        <v>0</v>
      </c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0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37.63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550</v>
      </c>
      <c r="B2" s="5" t="s">
        <v>138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456</v>
      </c>
      <c r="C3" s="6" t="n">
        <v>0.02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338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363</v>
      </c>
      <c r="C5" s="6" t="n">
        <v>0.03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432</v>
      </c>
      <c r="C6" s="6" t="n">
        <v>0.02</v>
      </c>
      <c r="D6" s="6" t="e">
        <f aca="false">#REF!</f>
        <v>#REF!</v>
      </c>
      <c r="E6" s="7" t="e">
        <f aca="false">D6*C6</f>
        <v>#REF!</v>
      </c>
      <c r="F6" s="8"/>
      <c r="G6" s="8"/>
      <c r="H6" s="8"/>
    </row>
    <row r="7" customFormat="false" ht="15.75" hidden="false" customHeight="false" outlineLevel="0" collapsed="false">
      <c r="A7" s="4"/>
      <c r="B7" s="5"/>
      <c r="C7" s="6"/>
      <c r="D7" s="6"/>
      <c r="E7" s="7" t="n">
        <f aca="false">D7*C7</f>
        <v>0</v>
      </c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551</v>
      </c>
      <c r="B9" s="5" t="s">
        <v>337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700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438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24" t="s">
        <v>552</v>
      </c>
      <c r="C11" s="6" t="n">
        <v>0.01</v>
      </c>
      <c r="D11" s="6" t="n">
        <v>480</v>
      </c>
      <c r="E11" s="7" t="n">
        <f aca="false">D11*C11</f>
        <v>4.8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363</v>
      </c>
      <c r="C12" s="6" t="n">
        <v>0.03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432</v>
      </c>
      <c r="C13" s="6" t="n">
        <v>0.02</v>
      </c>
      <c r="D13" s="6" t="e">
        <f aca="false">#REF!</f>
        <v>#REF!</v>
      </c>
      <c r="E13" s="7" t="e">
        <f aca="false">D13*C13</f>
        <v>#REF!</v>
      </c>
      <c r="F13" s="8"/>
      <c r="G13" s="8"/>
      <c r="H13" s="8"/>
    </row>
    <row r="14" customFormat="false" ht="15.75" hidden="false" customHeight="false" outlineLevel="0" collapsed="false">
      <c r="A14" s="4"/>
      <c r="B14" s="5" t="s">
        <v>553</v>
      </c>
      <c r="C14" s="6" t="n">
        <v>0.002</v>
      </c>
      <c r="D14" s="6" t="n">
        <f aca="false">348/35*1000</f>
        <v>9942.85714285714</v>
      </c>
      <c r="E14" s="7" t="n">
        <f aca="false">D14*C14</f>
        <v>19.8857142857143</v>
      </c>
      <c r="F14" s="8"/>
      <c r="G14" s="8"/>
      <c r="H14" s="8"/>
    </row>
    <row r="15" customFormat="false" ht="15.75" hidden="true" customHeight="false" outlineLevel="0" collapsed="false">
      <c r="A15" s="4" t="s">
        <v>554</v>
      </c>
      <c r="B15" s="5" t="s">
        <v>319</v>
      </c>
      <c r="C15" s="6" t="n">
        <v>0.04</v>
      </c>
      <c r="D15" s="6" t="e">
        <f aca="false">#REF!</f>
        <v>#REF!</v>
      </c>
      <c r="E15" s="7" t="e">
        <f aca="false">D15*C15</f>
        <v>#REF!</v>
      </c>
      <c r="F15" s="8" t="e">
        <f aca="false">SUM(E15:E20)</f>
        <v>#REF!</v>
      </c>
      <c r="G15" s="8"/>
      <c r="H15" s="9" t="e">
        <f aca="false">(G15-F15)/F15*100</f>
        <v>#REF!</v>
      </c>
    </row>
    <row r="16" customFormat="false" ht="15.75" hidden="true" customHeight="false" outlineLevel="0" collapsed="false">
      <c r="A16" s="4"/>
      <c r="B16" s="5" t="s">
        <v>555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true" customHeight="false" outlineLevel="0" collapsed="false">
      <c r="A17" s="4"/>
      <c r="B17" s="5" t="s">
        <v>556</v>
      </c>
      <c r="C17" s="6" t="n">
        <v>0.01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true" customHeight="false" outlineLevel="0" collapsed="false">
      <c r="A18" s="4"/>
      <c r="B18" s="5" t="s">
        <v>25</v>
      </c>
      <c r="C18" s="6" t="n">
        <v>0.03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true" customHeight="false" outlineLevel="0" collapsed="false">
      <c r="A19" s="4"/>
      <c r="B19" s="5" t="s">
        <v>11</v>
      </c>
      <c r="C19" s="6" t="n">
        <v>0.06</v>
      </c>
      <c r="D19" s="6" t="e">
        <f aca="false">#REF!</f>
        <v>#REF!</v>
      </c>
      <c r="E19" s="7" t="e">
        <f aca="false">D19*C19</f>
        <v>#REF!</v>
      </c>
      <c r="F19" s="8"/>
      <c r="G19" s="8"/>
      <c r="H19" s="8"/>
    </row>
    <row r="20" customFormat="false" ht="15.75" hidden="true" customHeight="false" outlineLevel="0" collapsed="false">
      <c r="A20" s="4"/>
      <c r="B20" s="5" t="s">
        <v>557</v>
      </c>
      <c r="C20" s="6" t="n">
        <v>0.02</v>
      </c>
      <c r="D20" s="6" t="n">
        <v>850</v>
      </c>
      <c r="E20" s="7" t="n">
        <f aca="false">D20*C20</f>
        <v>17</v>
      </c>
      <c r="F20" s="8"/>
      <c r="G20" s="8"/>
      <c r="H20" s="8"/>
    </row>
    <row r="21" customFormat="false" ht="15.75" hidden="false" customHeight="false" outlineLevel="0" collapsed="false">
      <c r="A21" s="4" t="s">
        <v>558</v>
      </c>
      <c r="B21" s="5" t="s">
        <v>17</v>
      </c>
      <c r="C21" s="6" t="n">
        <v>0.04</v>
      </c>
      <c r="D21" s="6" t="e">
        <f aca="false">#REF!</f>
        <v>#REF!</v>
      </c>
      <c r="E21" s="7" t="e">
        <f aca="false">D21*C21</f>
        <v>#REF!</v>
      </c>
      <c r="F21" s="8" t="e">
        <f aca="false">SUM(E21:E26)</f>
        <v>#REF!</v>
      </c>
      <c r="G21" s="8" t="n">
        <v>650</v>
      </c>
      <c r="H21" s="9" t="e">
        <f aca="false">(G21-F21)/F21*100</f>
        <v>#REF!</v>
      </c>
    </row>
    <row r="22" customFormat="false" ht="15.75" hidden="false" customHeight="false" outlineLevel="0" collapsed="false">
      <c r="A22" s="4"/>
      <c r="B22" s="5" t="s">
        <v>481</v>
      </c>
      <c r="C22" s="6" t="n">
        <v>0.02</v>
      </c>
      <c r="D22" s="6" t="e">
        <f aca="false">#REF!</f>
        <v>#REF!</v>
      </c>
      <c r="E22" s="7" t="e">
        <f aca="false">D22*C22</f>
        <v>#REF!</v>
      </c>
      <c r="F22" s="8"/>
      <c r="G22" s="8"/>
      <c r="H22" s="8"/>
    </row>
    <row r="23" customFormat="false" ht="15.75" hidden="false" customHeight="false" outlineLevel="0" collapsed="false">
      <c r="A23" s="4"/>
      <c r="B23" s="5" t="s">
        <v>489</v>
      </c>
      <c r="C23" s="6" t="n">
        <v>0.02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5" t="s">
        <v>20</v>
      </c>
      <c r="C24" s="6" t="n">
        <v>0.02</v>
      </c>
      <c r="D24" s="6" t="e">
        <f aca="false">#REF!</f>
        <v>#REF!</v>
      </c>
      <c r="E24" s="7" t="e">
        <f aca="false">D24*C24</f>
        <v>#REF!</v>
      </c>
      <c r="F24" s="8"/>
      <c r="G24" s="8"/>
      <c r="H24" s="8"/>
    </row>
    <row r="25" customFormat="false" ht="15.75" hidden="false" customHeight="false" outlineLevel="0" collapsed="false">
      <c r="A25" s="4"/>
      <c r="B25" s="5" t="s">
        <v>375</v>
      </c>
      <c r="C25" s="6" t="n">
        <v>0.04</v>
      </c>
      <c r="D25" s="6" t="e">
        <f aca="false">#REF!</f>
        <v>#REF!</v>
      </c>
      <c r="E25" s="7" t="e">
        <f aca="false">D25*C25</f>
        <v>#REF!</v>
      </c>
      <c r="F25" s="8"/>
      <c r="G25" s="8"/>
      <c r="H25" s="8"/>
    </row>
    <row r="26" customFormat="false" ht="15.75" hidden="false" customHeight="false" outlineLevel="0" collapsed="false">
      <c r="A26" s="4"/>
      <c r="B26" s="5" t="s">
        <v>559</v>
      </c>
      <c r="C26" s="6" t="n">
        <v>0.01</v>
      </c>
      <c r="D26" s="6" t="e">
        <f aca="false">#REF!</f>
        <v>#REF!</v>
      </c>
      <c r="E26" s="7" t="e">
        <f aca="false">D26*C26</f>
        <v>#REF!</v>
      </c>
      <c r="F26" s="8"/>
      <c r="G26" s="8"/>
      <c r="H26" s="8"/>
    </row>
    <row r="27" customFormat="false" ht="15.75" hidden="true" customHeight="false" outlineLevel="0" collapsed="false">
      <c r="A27" s="4" t="s">
        <v>554</v>
      </c>
      <c r="B27" s="5" t="s">
        <v>337</v>
      </c>
      <c r="C27" s="6" t="n">
        <v>0.04</v>
      </c>
      <c r="D27" s="6" t="e">
        <f aca="false">#REF!</f>
        <v>#REF!</v>
      </c>
      <c r="E27" s="7" t="e">
        <f aca="false">D27*C27</f>
        <v>#REF!</v>
      </c>
      <c r="F27" s="8" t="e">
        <f aca="false">SUM(E27:E32)</f>
        <v>#REF!</v>
      </c>
      <c r="G27" s="8"/>
      <c r="H27" s="9" t="e">
        <f aca="false">(G27-F27)/F27*100</f>
        <v>#REF!</v>
      </c>
    </row>
    <row r="28" customFormat="false" ht="15.75" hidden="true" customHeight="false" outlineLevel="0" collapsed="false">
      <c r="A28" s="4"/>
      <c r="B28" s="5" t="s">
        <v>560</v>
      </c>
      <c r="C28" s="6" t="n">
        <v>0.02</v>
      </c>
      <c r="D28" s="6" t="e">
        <f aca="false">#REF!</f>
        <v>#REF!</v>
      </c>
      <c r="E28" s="7" t="e">
        <f aca="false">D28*C28</f>
        <v>#REF!</v>
      </c>
      <c r="F28" s="8"/>
      <c r="G28" s="8"/>
      <c r="H28" s="8"/>
    </row>
    <row r="29" customFormat="false" ht="15.75" hidden="true" customHeight="false" outlineLevel="0" collapsed="false">
      <c r="A29" s="4"/>
      <c r="B29" s="5" t="s">
        <v>368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true" customHeight="false" outlineLevel="0" collapsed="false">
      <c r="A30" s="4"/>
      <c r="B30" s="5" t="s">
        <v>561</v>
      </c>
      <c r="C30" s="6" t="n">
        <v>0.2</v>
      </c>
      <c r="D30" s="6" t="n">
        <v>80</v>
      </c>
      <c r="E30" s="7" t="n">
        <f aca="false">D30*C30</f>
        <v>16</v>
      </c>
      <c r="F30" s="8"/>
      <c r="G30" s="8"/>
      <c r="H30" s="8"/>
    </row>
    <row r="31" customFormat="false" ht="15.75" hidden="true" customHeight="false" outlineLevel="0" collapsed="false">
      <c r="A31" s="4"/>
      <c r="B31" s="5" t="s">
        <v>562</v>
      </c>
      <c r="C31" s="6" t="n">
        <v>0.02</v>
      </c>
      <c r="D31" s="6" t="e">
        <f aca="false">#REF!</f>
        <v>#REF!</v>
      </c>
      <c r="E31" s="7" t="e">
        <f aca="false">D31*C31</f>
        <v>#REF!</v>
      </c>
      <c r="F31" s="8"/>
      <c r="G31" s="8"/>
      <c r="H31" s="8"/>
    </row>
    <row r="32" customFormat="false" ht="15.75" hidden="true" customHeight="false" outlineLevel="0" collapsed="false">
      <c r="A32" s="4"/>
      <c r="B32" s="5"/>
      <c r="C32" s="6"/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 t="s">
        <v>563</v>
      </c>
      <c r="B33" s="5" t="s">
        <v>564</v>
      </c>
      <c r="C33" s="6" t="n">
        <v>0.04</v>
      </c>
      <c r="D33" s="6" t="e">
        <f aca="false">#REF!</f>
        <v>#REF!</v>
      </c>
      <c r="E33" s="7" t="e">
        <f aca="false">D33*C33</f>
        <v>#REF!</v>
      </c>
      <c r="F33" s="8" t="e">
        <f aca="false">SUM(E33:E38)</f>
        <v>#REF!</v>
      </c>
      <c r="G33" s="8" t="n">
        <v>700</v>
      </c>
      <c r="H33" s="9" t="e">
        <f aca="false">(G33-F33)/F33*100</f>
        <v>#REF!</v>
      </c>
    </row>
    <row r="34" customFormat="false" ht="15.75" hidden="false" customHeight="false" outlineLevel="0" collapsed="false">
      <c r="A34" s="4"/>
      <c r="B34" s="5" t="s">
        <v>360</v>
      </c>
      <c r="C34" s="6" t="n">
        <v>0.03</v>
      </c>
      <c r="D34" s="6" t="e">
        <f aca="false">#REF!</f>
        <v>#REF!</v>
      </c>
      <c r="E34" s="7" t="e">
        <f aca="false">D34*C34</f>
        <v>#REF!</v>
      </c>
      <c r="F34" s="8"/>
      <c r="G34" s="8"/>
      <c r="H34" s="8"/>
    </row>
    <row r="35" customFormat="false" ht="15.75" hidden="false" customHeight="false" outlineLevel="0" collapsed="false">
      <c r="A35" s="4"/>
      <c r="B35" s="5" t="s">
        <v>565</v>
      </c>
      <c r="C35" s="6" t="n">
        <v>0.015</v>
      </c>
      <c r="D35" s="6" t="e">
        <f aca="false">#REF!</f>
        <v>#REF!</v>
      </c>
      <c r="E35" s="7" t="e">
        <f aca="false">D35*C35</f>
        <v>#REF!</v>
      </c>
      <c r="F35" s="8"/>
      <c r="G35" s="8"/>
      <c r="H35" s="8"/>
    </row>
    <row r="36" customFormat="false" ht="15.75" hidden="false" customHeight="false" outlineLevel="0" collapsed="false">
      <c r="A36" s="4"/>
      <c r="B36" s="5" t="s">
        <v>20</v>
      </c>
      <c r="C36" s="6" t="n">
        <v>0.02</v>
      </c>
      <c r="D36" s="6" t="e">
        <f aca="false">#REF!</f>
        <v>#REF!</v>
      </c>
      <c r="E36" s="7" t="e">
        <f aca="false">D36*C36</f>
        <v>#REF!</v>
      </c>
      <c r="F36" s="8"/>
      <c r="G36" s="8"/>
      <c r="H36" s="8"/>
    </row>
    <row r="37" customFormat="false" ht="15.75" hidden="false" customHeight="false" outlineLevel="0" collapsed="false">
      <c r="A37" s="4"/>
      <c r="B37" s="5" t="s">
        <v>561</v>
      </c>
      <c r="C37" s="6" t="n">
        <v>0.02</v>
      </c>
      <c r="D37" s="6" t="n">
        <v>80</v>
      </c>
      <c r="E37" s="7" t="n">
        <f aca="false">D37*C37</f>
        <v>1.6</v>
      </c>
      <c r="F37" s="8"/>
      <c r="G37" s="8"/>
      <c r="H37" s="8"/>
    </row>
    <row r="38" customFormat="false" ht="15.75" hidden="false" customHeight="false" outlineLevel="0" collapsed="false">
      <c r="A38" s="4"/>
      <c r="B38" s="5" t="s">
        <v>566</v>
      </c>
      <c r="C38" s="6" t="n">
        <v>0</v>
      </c>
      <c r="D38" s="6" t="n">
        <f aca="false">558/190*1000</f>
        <v>2936.84210526316</v>
      </c>
      <c r="E38" s="7" t="n">
        <f aca="false">D38*C38</f>
        <v>0</v>
      </c>
      <c r="F38" s="8"/>
      <c r="G38" s="8"/>
      <c r="H38" s="8"/>
    </row>
    <row r="39" customFormat="false" ht="15.75" hidden="true" customHeight="false" outlineLevel="0" collapsed="false">
      <c r="A39" s="4" t="s">
        <v>554</v>
      </c>
      <c r="B39" s="5" t="s">
        <v>494</v>
      </c>
      <c r="C39" s="6" t="n">
        <v>0.03</v>
      </c>
      <c r="D39" s="6" t="e">
        <f aca="false">#REF!</f>
        <v>#REF!</v>
      </c>
      <c r="E39" s="7" t="e">
        <f aca="false">D39*C39</f>
        <v>#REF!</v>
      </c>
      <c r="F39" s="8" t="e">
        <f aca="false">SUM(E39:E44)</f>
        <v>#REF!</v>
      </c>
      <c r="G39" s="8"/>
      <c r="H39" s="9" t="e">
        <f aca="false">(G39-F39)/F39*100</f>
        <v>#REF!</v>
      </c>
    </row>
    <row r="40" customFormat="false" ht="15.75" hidden="true" customHeight="false" outlineLevel="0" collapsed="false">
      <c r="A40" s="4"/>
      <c r="B40" s="5" t="s">
        <v>518</v>
      </c>
      <c r="C40" s="6" t="n">
        <v>0.02</v>
      </c>
      <c r="D40" s="6" t="e">
        <f aca="false">#REF!</f>
        <v>#REF!</v>
      </c>
      <c r="E40" s="7" t="e">
        <f aca="false">D40*C40</f>
        <v>#REF!</v>
      </c>
      <c r="F40" s="8"/>
      <c r="G40" s="8"/>
      <c r="H40" s="8"/>
    </row>
    <row r="41" customFormat="false" ht="15.75" hidden="true" customHeight="false" outlineLevel="0" collapsed="false">
      <c r="A41" s="4"/>
      <c r="B41" s="5" t="s">
        <v>567</v>
      </c>
      <c r="C41" s="6" t="n">
        <v>0.02</v>
      </c>
      <c r="D41" s="6" t="e">
        <f aca="false">#REF!</f>
        <v>#REF!</v>
      </c>
      <c r="E41" s="7" t="e">
        <f aca="false">D41*C41</f>
        <v>#REF!</v>
      </c>
      <c r="F41" s="8"/>
      <c r="G41" s="8"/>
      <c r="H41" s="8"/>
    </row>
    <row r="42" customFormat="false" ht="15.75" hidden="true" customHeight="false" outlineLevel="0" collapsed="false">
      <c r="A42" s="4"/>
      <c r="B42" s="5" t="s">
        <v>568</v>
      </c>
      <c r="C42" s="6" t="n">
        <v>0.01</v>
      </c>
      <c r="D42" s="6" t="e">
        <f aca="false">#REF!</f>
        <v>#REF!</v>
      </c>
      <c r="E42" s="7" t="e">
        <f aca="false">D42*C42</f>
        <v>#REF!</v>
      </c>
      <c r="F42" s="8"/>
      <c r="G42" s="8"/>
      <c r="H42" s="8"/>
    </row>
    <row r="43" customFormat="false" ht="15.75" hidden="true" customHeight="false" outlineLevel="0" collapsed="false">
      <c r="A43" s="4"/>
      <c r="B43" s="5" t="s">
        <v>569</v>
      </c>
      <c r="C43" s="6" t="n">
        <v>0.01</v>
      </c>
      <c r="D43" s="6" t="e">
        <f aca="false">#REF!</f>
        <v>#REF!</v>
      </c>
      <c r="E43" s="7" t="e">
        <f aca="false">D43*C43</f>
        <v>#REF!</v>
      </c>
      <c r="F43" s="8"/>
      <c r="G43" s="8"/>
      <c r="H43" s="8"/>
    </row>
    <row r="44" customFormat="false" ht="15.75" hidden="tru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 t="s">
        <v>570</v>
      </c>
      <c r="B45" s="5" t="s">
        <v>571</v>
      </c>
      <c r="C45" s="6" t="n">
        <v>0.03</v>
      </c>
      <c r="D45" s="6" t="e">
        <f aca="false">#REF!</f>
        <v>#REF!</v>
      </c>
      <c r="E45" s="7" t="e">
        <f aca="false">D45*C45</f>
        <v>#REF!</v>
      </c>
      <c r="F45" s="8" t="e">
        <f aca="false">SUM(E45:E50)</f>
        <v>#REF!</v>
      </c>
      <c r="G45" s="8" t="n">
        <v>600</v>
      </c>
      <c r="H45" s="9" t="e">
        <f aca="false">(G45-F45)/F45*100</f>
        <v>#REF!</v>
      </c>
    </row>
    <row r="46" customFormat="false" ht="15.75" hidden="false" customHeight="false" outlineLevel="0" collapsed="false">
      <c r="A46" s="4"/>
      <c r="B46" s="5" t="s">
        <v>572</v>
      </c>
      <c r="C46" s="6" t="n">
        <v>0.03</v>
      </c>
      <c r="D46" s="6" t="e">
        <f aca="false">#REF!</f>
        <v>#REF!</v>
      </c>
      <c r="E46" s="7" t="e">
        <f aca="false">D46*C46</f>
        <v>#REF!</v>
      </c>
      <c r="F46" s="8"/>
      <c r="G46" s="8"/>
      <c r="H46" s="8"/>
    </row>
    <row r="47" customFormat="false" ht="15.75" hidden="false" customHeight="false" outlineLevel="0" collapsed="false">
      <c r="A47" s="4"/>
      <c r="B47" s="5" t="s">
        <v>573</v>
      </c>
      <c r="C47" s="6" t="n">
        <v>0.03</v>
      </c>
      <c r="D47" s="6" t="e">
        <f aca="false">#REF!</f>
        <v>#REF!</v>
      </c>
      <c r="E47" s="7" t="e">
        <f aca="false">D47*C47</f>
        <v>#REF!</v>
      </c>
      <c r="F47" s="8"/>
      <c r="G47" s="8"/>
      <c r="H47" s="8"/>
    </row>
    <row r="48" customFormat="false" ht="15.75" hidden="false" customHeight="false" outlineLevel="0" collapsed="false">
      <c r="A48" s="4"/>
      <c r="B48" s="5" t="s">
        <v>574</v>
      </c>
      <c r="C48" s="6" t="n">
        <v>0.1</v>
      </c>
      <c r="D48" s="6" t="n">
        <v>80</v>
      </c>
      <c r="E48" s="7" t="n">
        <f aca="false">D48*C48</f>
        <v>8</v>
      </c>
      <c r="F48" s="8"/>
      <c r="G48" s="8"/>
      <c r="H48" s="8"/>
    </row>
    <row r="49" customFormat="false" ht="15.75" hidden="false" customHeight="false" outlineLevel="0" collapsed="false">
      <c r="A49" s="4"/>
      <c r="B49" s="5" t="s">
        <v>575</v>
      </c>
      <c r="C49" s="6" t="n">
        <v>0.03</v>
      </c>
      <c r="D49" s="6" t="e">
        <f aca="false">#REF!</f>
        <v>#REF!</v>
      </c>
      <c r="E49" s="7" t="e">
        <f aca="false">D49*C49</f>
        <v>#REF!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true" customHeight="false" outlineLevel="0" collapsed="false">
      <c r="A51" s="4" t="s">
        <v>554</v>
      </c>
      <c r="B51" s="5" t="s">
        <v>25</v>
      </c>
      <c r="C51" s="6" t="n">
        <v>0.03</v>
      </c>
      <c r="D51" s="6" t="e">
        <f aca="false">#REF!</f>
        <v>#REF!</v>
      </c>
      <c r="E51" s="7" t="e">
        <f aca="false">D51*C51</f>
        <v>#REF!</v>
      </c>
      <c r="F51" s="8" t="e">
        <f aca="false">SUM(E51:E56)</f>
        <v>#REF!</v>
      </c>
      <c r="G51" s="8"/>
      <c r="H51" s="9" t="e">
        <f aca="false">(G51-F51)/F51*100</f>
        <v>#REF!</v>
      </c>
    </row>
    <row r="52" customFormat="false" ht="15.75" hidden="true" customHeight="false" outlineLevel="0" collapsed="false">
      <c r="A52" s="4"/>
      <c r="B52" s="5" t="s">
        <v>338</v>
      </c>
      <c r="C52" s="6" t="n">
        <v>0.02</v>
      </c>
      <c r="D52" s="6" t="e">
        <f aca="false">#REF!</f>
        <v>#REF!</v>
      </c>
      <c r="E52" s="7" t="e">
        <f aca="false">D52*C52</f>
        <v>#REF!</v>
      </c>
      <c r="F52" s="8"/>
      <c r="G52" s="8"/>
      <c r="H52" s="8"/>
    </row>
    <row r="53" customFormat="false" ht="15.75" hidden="true" customHeight="false" outlineLevel="0" collapsed="false">
      <c r="A53" s="4"/>
      <c r="B53" s="5" t="s">
        <v>576</v>
      </c>
      <c r="C53" s="6" t="n">
        <v>0.04</v>
      </c>
      <c r="D53" s="6" t="e">
        <f aca="false">#REF!</f>
        <v>#REF!</v>
      </c>
      <c r="E53" s="7" t="e">
        <f aca="false">D53*C53</f>
        <v>#REF!</v>
      </c>
      <c r="F53" s="8"/>
      <c r="G53" s="8"/>
      <c r="H53" s="8"/>
    </row>
    <row r="54" customFormat="false" ht="15.75" hidden="true" customHeight="false" outlineLevel="0" collapsed="false">
      <c r="A54" s="4"/>
      <c r="B54" s="5" t="s">
        <v>561</v>
      </c>
      <c r="C54" s="6" t="n">
        <v>0.2</v>
      </c>
      <c r="D54" s="6" t="n">
        <v>80</v>
      </c>
      <c r="E54" s="7" t="n">
        <f aca="false">D54*C54</f>
        <v>16</v>
      </c>
      <c r="F54" s="8"/>
      <c r="G54" s="8"/>
      <c r="H54" s="8"/>
    </row>
    <row r="55" customFormat="false" ht="15.75" hidden="true" customHeight="false" outlineLevel="0" collapsed="false">
      <c r="A55" s="4"/>
      <c r="B55" s="5" t="s">
        <v>577</v>
      </c>
      <c r="C55" s="6" t="n">
        <v>0.03</v>
      </c>
      <c r="D55" s="6" t="n">
        <v>300</v>
      </c>
      <c r="E55" s="7" t="n">
        <f aca="false">D55*C55</f>
        <v>9</v>
      </c>
      <c r="F55" s="8"/>
      <c r="G55" s="8"/>
      <c r="H55" s="8"/>
    </row>
    <row r="56" customFormat="false" ht="15.75" hidden="tru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true" customHeight="false" outlineLevel="0" collapsed="false">
      <c r="A57" s="4" t="s">
        <v>554</v>
      </c>
      <c r="B57" s="5" t="s">
        <v>578</v>
      </c>
      <c r="C57" s="6" t="n">
        <v>0.04</v>
      </c>
      <c r="D57" s="6" t="e">
        <f aca="false">#REF!</f>
        <v>#REF!</v>
      </c>
      <c r="E57" s="7" t="e">
        <f aca="false">D57*C57</f>
        <v>#REF!</v>
      </c>
      <c r="F57" s="8" t="e">
        <f aca="false">SUM(E57:E62)</f>
        <v>#REF!</v>
      </c>
      <c r="G57" s="8"/>
      <c r="H57" s="9" t="e">
        <f aca="false">(G57-F57)/F57*100</f>
        <v>#REF!</v>
      </c>
    </row>
    <row r="58" customFormat="false" ht="15.75" hidden="true" customHeight="false" outlineLevel="0" collapsed="false">
      <c r="A58" s="4"/>
      <c r="B58" s="5" t="s">
        <v>579</v>
      </c>
      <c r="C58" s="6" t="n">
        <v>0.01</v>
      </c>
      <c r="D58" s="6" t="e">
        <f aca="false">#REF!</f>
        <v>#REF!</v>
      </c>
      <c r="E58" s="7" t="e">
        <f aca="false">D58*C58</f>
        <v>#REF!</v>
      </c>
      <c r="F58" s="8"/>
      <c r="G58" s="8"/>
      <c r="H58" s="8"/>
    </row>
    <row r="59" customFormat="false" ht="15.75" hidden="true" customHeight="false" outlineLevel="0" collapsed="false">
      <c r="A59" s="4"/>
      <c r="B59" s="5" t="s">
        <v>20</v>
      </c>
      <c r="C59" s="6" t="n">
        <v>0.02</v>
      </c>
      <c r="D59" s="6" t="e">
        <f aca="false">#REF!</f>
        <v>#REF!</v>
      </c>
      <c r="E59" s="7" t="e">
        <f aca="false">D59*C59</f>
        <v>#REF!</v>
      </c>
      <c r="F59" s="8"/>
      <c r="G59" s="8"/>
      <c r="H59" s="8"/>
    </row>
    <row r="60" customFormat="false" ht="15.75" hidden="true" customHeight="false" outlineLevel="0" collapsed="false">
      <c r="A60" s="4"/>
      <c r="B60" s="5" t="s">
        <v>561</v>
      </c>
      <c r="C60" s="6" t="n">
        <v>0.2</v>
      </c>
      <c r="D60" s="6" t="n">
        <v>80</v>
      </c>
      <c r="E60" s="7" t="n">
        <f aca="false">D60*C60</f>
        <v>16</v>
      </c>
      <c r="F60" s="8"/>
      <c r="G60" s="8"/>
      <c r="H60" s="8"/>
    </row>
    <row r="61" customFormat="false" ht="15.75" hidden="true" customHeight="false" outlineLevel="0" collapsed="false">
      <c r="A61" s="4"/>
      <c r="B61" s="5" t="s">
        <v>566</v>
      </c>
      <c r="C61" s="6" t="n">
        <v>0.01</v>
      </c>
      <c r="D61" s="6" t="n">
        <f aca="false">558/190*1000</f>
        <v>2936.84210526316</v>
      </c>
      <c r="E61" s="7" t="n">
        <f aca="false">D61*C61</f>
        <v>29.3684210526316</v>
      </c>
      <c r="F61" s="8"/>
      <c r="G61" s="8"/>
      <c r="H61" s="8"/>
    </row>
    <row r="62" customFormat="false" ht="15.75" hidden="tru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4" t="s">
        <v>580</v>
      </c>
      <c r="B63" s="5" t="s">
        <v>154</v>
      </c>
      <c r="C63" s="6" t="n">
        <v>0.04</v>
      </c>
      <c r="D63" s="6" t="e">
        <f aca="false">#REF!</f>
        <v>#REF!</v>
      </c>
      <c r="E63" s="7" t="e">
        <f aca="false">D63*C63</f>
        <v>#REF!</v>
      </c>
      <c r="F63" s="8" t="e">
        <f aca="false">SUM(E63:E68)</f>
        <v>#REF!</v>
      </c>
      <c r="G63" s="8" t="n">
        <v>1000</v>
      </c>
      <c r="H63" s="9" t="e">
        <f aca="false">(G63-F63)/F63*100</f>
        <v>#REF!</v>
      </c>
    </row>
    <row r="64" customFormat="false" ht="15.75" hidden="false" customHeight="false" outlineLevel="0" collapsed="false">
      <c r="A64" s="4"/>
      <c r="B64" s="5" t="s">
        <v>581</v>
      </c>
      <c r="C64" s="6" t="n">
        <v>0.04</v>
      </c>
      <c r="D64" s="6" t="e">
        <f aca="false">#REF!</f>
        <v>#REF!</v>
      </c>
      <c r="E64" s="7" t="e">
        <f aca="false">D64*C64</f>
        <v>#REF!</v>
      </c>
      <c r="F64" s="8"/>
      <c r="G64" s="8"/>
      <c r="H64" s="8"/>
    </row>
    <row r="65" customFormat="false" ht="15.75" hidden="false" customHeight="false" outlineLevel="0" collapsed="false">
      <c r="A65" s="4"/>
      <c r="B65" s="5" t="s">
        <v>582</v>
      </c>
      <c r="C65" s="6" t="n">
        <v>0.04</v>
      </c>
      <c r="D65" s="6" t="e">
        <f aca="false">#REF!</f>
        <v>#REF!</v>
      </c>
      <c r="E65" s="7" t="e">
        <f aca="false">D65*C65</f>
        <v>#REF!</v>
      </c>
      <c r="F65" s="8"/>
      <c r="G65" s="8"/>
      <c r="H65" s="8"/>
    </row>
    <row r="66" customFormat="false" ht="15.75" hidden="false" customHeight="false" outlineLevel="0" collapsed="false">
      <c r="A66" s="4"/>
      <c r="B66" s="5" t="s">
        <v>523</v>
      </c>
      <c r="C66" s="6" t="n">
        <v>0.04</v>
      </c>
      <c r="D66" s="6" t="e">
        <f aca="false">#REF!</f>
        <v>#REF!</v>
      </c>
      <c r="E66" s="7" t="e">
        <f aca="false">D66*C66</f>
        <v>#REF!</v>
      </c>
      <c r="F66" s="8"/>
      <c r="G66" s="8"/>
      <c r="H66" s="8"/>
    </row>
    <row r="67" customFormat="false" ht="15.75" hidden="false" customHeight="false" outlineLevel="0" collapsed="false">
      <c r="A67" s="4"/>
      <c r="B67" s="5"/>
      <c r="C67" s="6"/>
      <c r="D67" s="6"/>
      <c r="E67" s="7" t="n">
        <f aca="false">D67*C67</f>
        <v>0</v>
      </c>
      <c r="F67" s="8"/>
      <c r="G67" s="8"/>
      <c r="H67" s="8"/>
    </row>
    <row r="68" customFormat="false" ht="15.75" hidden="false" customHeight="false" outlineLevel="0" collapsed="false">
      <c r="A68" s="4"/>
      <c r="B68" s="5"/>
      <c r="C68" s="6"/>
      <c r="D68" s="6"/>
      <c r="E68" s="7" t="n">
        <f aca="false">D68*C68</f>
        <v>0</v>
      </c>
      <c r="F68" s="8"/>
      <c r="G68" s="8"/>
      <c r="H68" s="8"/>
    </row>
    <row r="69" customFormat="false" ht="15.75" hidden="false" customHeight="false" outlineLevel="0" collapsed="false">
      <c r="A69" s="4" t="s">
        <v>583</v>
      </c>
      <c r="B69" s="5" t="s">
        <v>23</v>
      </c>
      <c r="C69" s="6" t="n">
        <v>0.06</v>
      </c>
      <c r="D69" s="6" t="e">
        <f aca="false">#REF!</f>
        <v>#REF!</v>
      </c>
      <c r="E69" s="7" t="e">
        <f aca="false">D69*C69</f>
        <v>#REF!</v>
      </c>
      <c r="F69" s="8" t="e">
        <f aca="false">SUM(E69:E74)</f>
        <v>#REF!</v>
      </c>
      <c r="G69" s="8" t="n">
        <v>1000</v>
      </c>
      <c r="H69" s="9" t="e">
        <f aca="false">(G69-F69)/F69*100</f>
        <v>#REF!</v>
      </c>
    </row>
    <row r="70" customFormat="false" ht="15.75" hidden="false" customHeight="false" outlineLevel="0" collapsed="false">
      <c r="A70" s="4"/>
      <c r="B70" s="5" t="s">
        <v>584</v>
      </c>
      <c r="C70" s="6" t="n">
        <v>0.03</v>
      </c>
      <c r="D70" s="6" t="e">
        <f aca="false">#REF!</f>
        <v>#REF!</v>
      </c>
      <c r="E70" s="7" t="e">
        <f aca="false">D70*C70</f>
        <v>#REF!</v>
      </c>
      <c r="F70" s="8"/>
      <c r="G70" s="8"/>
      <c r="H70" s="8"/>
    </row>
    <row r="71" customFormat="false" ht="15.75" hidden="false" customHeight="false" outlineLevel="0" collapsed="false">
      <c r="A71" s="4"/>
      <c r="B71" s="5" t="s">
        <v>25</v>
      </c>
      <c r="C71" s="6" t="n">
        <v>0.03</v>
      </c>
      <c r="D71" s="6" t="e">
        <f aca="false">#REF!</f>
        <v>#REF!</v>
      </c>
      <c r="E71" s="7" t="e">
        <f aca="false">D71*C71</f>
        <v>#REF!</v>
      </c>
      <c r="F71" s="8"/>
      <c r="G71" s="8"/>
      <c r="H71" s="8"/>
    </row>
    <row r="72" customFormat="false" ht="15.75" hidden="false" customHeight="false" outlineLevel="0" collapsed="false">
      <c r="A72" s="4"/>
      <c r="B72" s="5" t="s">
        <v>585</v>
      </c>
      <c r="C72" s="6" t="n">
        <v>0.04</v>
      </c>
      <c r="D72" s="6" t="e">
        <f aca="false">#REF!</f>
        <v>#REF!</v>
      </c>
      <c r="E72" s="7" t="e">
        <f aca="false">D72*C72</f>
        <v>#REF!</v>
      </c>
      <c r="F72" s="8"/>
      <c r="G72" s="8"/>
      <c r="H72" s="8"/>
    </row>
    <row r="73" customFormat="false" ht="15.75" hidden="false" customHeight="false" outlineLevel="0" collapsed="false">
      <c r="A73" s="4"/>
      <c r="B73" s="5"/>
      <c r="C73" s="6"/>
      <c r="D73" s="6"/>
      <c r="E73" s="7" t="n">
        <f aca="false">D73*C73</f>
        <v>0</v>
      </c>
      <c r="F73" s="8"/>
      <c r="G73" s="8"/>
      <c r="H73" s="8"/>
    </row>
    <row r="74" customFormat="false" ht="15.75" hidden="false" customHeight="false" outlineLevel="0" collapsed="false">
      <c r="A74" s="4"/>
      <c r="B74" s="5"/>
      <c r="C74" s="6"/>
      <c r="D74" s="6"/>
      <c r="E74" s="7" t="n">
        <f aca="false">D74*C74</f>
        <v>0</v>
      </c>
      <c r="F74" s="8"/>
      <c r="G74" s="8"/>
      <c r="H74" s="8"/>
    </row>
    <row r="75" customFormat="false" ht="15.75" hidden="false" customHeight="false" outlineLevel="0" collapsed="false">
      <c r="A75" s="10"/>
      <c r="B75" s="11"/>
      <c r="C75" s="12"/>
      <c r="D75" s="12"/>
      <c r="E75" s="7" t="n">
        <f aca="false">D75*C75</f>
        <v>0</v>
      </c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1"/>
      <c r="C92" s="12"/>
      <c r="D92" s="12"/>
      <c r="E92" s="12"/>
      <c r="F92" s="12"/>
      <c r="G92" s="12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1"/>
      <c r="C93" s="12"/>
      <c r="D93" s="12"/>
      <c r="E93" s="12"/>
      <c r="F93" s="12"/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1"/>
      <c r="C94" s="12"/>
      <c r="D94" s="12"/>
      <c r="E94" s="12"/>
      <c r="F94" s="12"/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1"/>
      <c r="C95" s="12"/>
      <c r="D95" s="12"/>
      <c r="E95" s="12"/>
      <c r="F95" s="12"/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1"/>
      <c r="C96" s="12"/>
      <c r="D96" s="12"/>
      <c r="E96" s="12"/>
      <c r="F96" s="12"/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B986" s="13"/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B987" s="13"/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B988" s="13"/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B989" s="13"/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B990" s="13"/>
    </row>
  </sheetData>
  <mergeCells count="48">
    <mergeCell ref="A2:A8"/>
    <mergeCell ref="F2:F8"/>
    <mergeCell ref="G2:G8"/>
    <mergeCell ref="H2:H8"/>
    <mergeCell ref="A9:A14"/>
    <mergeCell ref="F9:F14"/>
    <mergeCell ref="G9:G14"/>
    <mergeCell ref="H9:H14"/>
    <mergeCell ref="A15:A20"/>
    <mergeCell ref="F15:F20"/>
    <mergeCell ref="G15:G20"/>
    <mergeCell ref="H15:H20"/>
    <mergeCell ref="A21:A26"/>
    <mergeCell ref="F21:F26"/>
    <mergeCell ref="G21:G26"/>
    <mergeCell ref="H21:H26"/>
    <mergeCell ref="A27:A32"/>
    <mergeCell ref="F27:F32"/>
    <mergeCell ref="G27:G32"/>
    <mergeCell ref="H27:H32"/>
    <mergeCell ref="A33:A38"/>
    <mergeCell ref="F33:F38"/>
    <mergeCell ref="G33:G38"/>
    <mergeCell ref="H33:H38"/>
    <mergeCell ref="A39:A44"/>
    <mergeCell ref="F39:F44"/>
    <mergeCell ref="G39:G44"/>
    <mergeCell ref="H39:H44"/>
    <mergeCell ref="A45:A50"/>
    <mergeCell ref="F45:F50"/>
    <mergeCell ref="G45:G50"/>
    <mergeCell ref="H45:H50"/>
    <mergeCell ref="A51:A56"/>
    <mergeCell ref="F51:F56"/>
    <mergeCell ref="G51:G56"/>
    <mergeCell ref="H51:H56"/>
    <mergeCell ref="A57:A62"/>
    <mergeCell ref="F57:F62"/>
    <mergeCell ref="G57:G62"/>
    <mergeCell ref="H57:H62"/>
    <mergeCell ref="A63:A68"/>
    <mergeCell ref="F63:F68"/>
    <mergeCell ref="G63:G68"/>
    <mergeCell ref="H63:H68"/>
    <mergeCell ref="A69:A74"/>
    <mergeCell ref="F69:F74"/>
    <mergeCell ref="G69:G74"/>
    <mergeCell ref="H69:H74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37.63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9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4" t="s">
        <v>586</v>
      </c>
      <c r="B2" s="5" t="s">
        <v>138</v>
      </c>
      <c r="C2" s="6" t="n">
        <v>0.04</v>
      </c>
      <c r="D2" s="6" t="e">
        <f aca="false">#REF!</f>
        <v>#REF!</v>
      </c>
      <c r="E2" s="7" t="e">
        <f aca="false">D2*C2</f>
        <v>#REF!</v>
      </c>
      <c r="F2" s="8" t="e">
        <f aca="false">SUM(E2:E8)</f>
        <v>#REF!</v>
      </c>
      <c r="G2" s="8" t="n">
        <v>750</v>
      </c>
      <c r="H2" s="9" t="e">
        <f aca="false">(G2-F2)/F2*100</f>
        <v>#REF!</v>
      </c>
    </row>
    <row r="3" customFormat="false" ht="15.75" hidden="false" customHeight="false" outlineLevel="0" collapsed="false">
      <c r="A3" s="4"/>
      <c r="B3" s="5" t="s">
        <v>587</v>
      </c>
      <c r="C3" s="6" t="n">
        <v>0.03</v>
      </c>
      <c r="D3" s="6" t="e">
        <f aca="false">#REF!</f>
        <v>#REF!</v>
      </c>
      <c r="E3" s="7" t="e">
        <f aca="false">D3*C3</f>
        <v>#REF!</v>
      </c>
      <c r="F3" s="8"/>
      <c r="G3" s="8"/>
      <c r="H3" s="8"/>
    </row>
    <row r="4" customFormat="false" ht="15.75" hidden="false" customHeight="false" outlineLevel="0" collapsed="false">
      <c r="A4" s="4"/>
      <c r="B4" s="5" t="s">
        <v>161</v>
      </c>
      <c r="C4" s="6" t="n">
        <v>0.02</v>
      </c>
      <c r="D4" s="6" t="e">
        <f aca="false">#REF!</f>
        <v>#REF!</v>
      </c>
      <c r="E4" s="7" t="e">
        <f aca="false">D4*C4</f>
        <v>#REF!</v>
      </c>
      <c r="F4" s="8"/>
      <c r="G4" s="8"/>
      <c r="H4" s="8"/>
    </row>
    <row r="5" customFormat="false" ht="15.75" hidden="false" customHeight="false" outlineLevel="0" collapsed="false">
      <c r="A5" s="4"/>
      <c r="B5" s="5" t="s">
        <v>358</v>
      </c>
      <c r="C5" s="6" t="n">
        <v>0.02</v>
      </c>
      <c r="D5" s="6" t="e">
        <f aca="false">#REF!</f>
        <v>#REF!</v>
      </c>
      <c r="E5" s="7" t="e">
        <f aca="false">D5*C5</f>
        <v>#REF!</v>
      </c>
      <c r="F5" s="8"/>
      <c r="G5" s="8"/>
      <c r="H5" s="8"/>
    </row>
    <row r="6" customFormat="false" ht="15.75" hidden="false" customHeight="false" outlineLevel="0" collapsed="false">
      <c r="A6" s="4"/>
      <c r="B6" s="5" t="s">
        <v>588</v>
      </c>
      <c r="C6" s="6" t="n">
        <v>0.02</v>
      </c>
      <c r="D6" s="6" t="n">
        <v>80</v>
      </c>
      <c r="E6" s="7" t="n">
        <f aca="false">D6*C6</f>
        <v>1.6</v>
      </c>
      <c r="F6" s="8"/>
      <c r="G6" s="8"/>
      <c r="H6" s="8"/>
    </row>
    <row r="7" customFormat="false" ht="15.75" hidden="false" customHeight="false" outlineLevel="0" collapsed="false">
      <c r="A7" s="4"/>
      <c r="B7" s="5" t="s">
        <v>589</v>
      </c>
      <c r="C7" s="6" t="n">
        <v>1</v>
      </c>
      <c r="D7" s="6"/>
      <c r="E7" s="7"/>
      <c r="F7" s="8"/>
      <c r="G7" s="8"/>
      <c r="H7" s="8"/>
    </row>
    <row r="8" customFormat="false" ht="15.75" hidden="false" customHeight="false" outlineLevel="0" collapsed="false">
      <c r="A8" s="4"/>
      <c r="B8" s="5"/>
      <c r="C8" s="6"/>
      <c r="D8" s="6"/>
      <c r="E8" s="7" t="n">
        <f aca="false">D8*C8</f>
        <v>0</v>
      </c>
      <c r="F8" s="8"/>
      <c r="G8" s="8"/>
      <c r="H8" s="8"/>
    </row>
    <row r="9" customFormat="false" ht="15.75" hidden="false" customHeight="false" outlineLevel="0" collapsed="false">
      <c r="A9" s="4" t="s">
        <v>590</v>
      </c>
      <c r="B9" s="5" t="s">
        <v>17</v>
      </c>
      <c r="C9" s="6" t="n">
        <v>0.04</v>
      </c>
      <c r="D9" s="6" t="e">
        <f aca="false">#REF!</f>
        <v>#REF!</v>
      </c>
      <c r="E9" s="7" t="e">
        <f aca="false">D9*C9</f>
        <v>#REF!</v>
      </c>
      <c r="F9" s="8" t="e">
        <f aca="false">SUM(E9:E14)</f>
        <v>#REF!</v>
      </c>
      <c r="G9" s="8" t="n">
        <v>750</v>
      </c>
      <c r="H9" s="9" t="e">
        <f aca="false">(G9-F9)/F9*100</f>
        <v>#REF!</v>
      </c>
    </row>
    <row r="10" customFormat="false" ht="15.75" hidden="false" customHeight="false" outlineLevel="0" collapsed="false">
      <c r="A10" s="4"/>
      <c r="B10" s="5" t="s">
        <v>591</v>
      </c>
      <c r="C10" s="6" t="n">
        <v>0.02</v>
      </c>
      <c r="D10" s="6" t="e">
        <f aca="false">#REF!</f>
        <v>#REF!</v>
      </c>
      <c r="E10" s="7" t="e">
        <f aca="false">D10*C10</f>
        <v>#REF!</v>
      </c>
      <c r="F10" s="8"/>
      <c r="G10" s="8"/>
      <c r="H10" s="8"/>
    </row>
    <row r="11" customFormat="false" ht="15.75" hidden="false" customHeight="false" outlineLevel="0" collapsed="false">
      <c r="A11" s="4"/>
      <c r="B11" s="24" t="s">
        <v>358</v>
      </c>
      <c r="C11" s="6" t="n">
        <v>0.02</v>
      </c>
      <c r="D11" s="6" t="e">
        <f aca="false">#REF!</f>
        <v>#REF!</v>
      </c>
      <c r="E11" s="7" t="e">
        <f aca="false">D11*C11</f>
        <v>#REF!</v>
      </c>
      <c r="F11" s="8"/>
      <c r="G11" s="8"/>
      <c r="H11" s="8"/>
    </row>
    <row r="12" customFormat="false" ht="15.75" hidden="false" customHeight="false" outlineLevel="0" collapsed="false">
      <c r="A12" s="4"/>
      <c r="B12" s="5" t="s">
        <v>435</v>
      </c>
      <c r="C12" s="6" t="n">
        <v>0.04</v>
      </c>
      <c r="D12" s="6" t="e">
        <f aca="false">#REF!</f>
        <v>#REF!</v>
      </c>
      <c r="E12" s="7" t="e">
        <f aca="false">D12*C12</f>
        <v>#REF!</v>
      </c>
      <c r="F12" s="8"/>
      <c r="G12" s="8"/>
      <c r="H12" s="8"/>
    </row>
    <row r="13" customFormat="false" ht="15.75" hidden="false" customHeight="false" outlineLevel="0" collapsed="false">
      <c r="A13" s="4"/>
      <c r="B13" s="5" t="s">
        <v>504</v>
      </c>
      <c r="C13" s="6" t="n">
        <v>0.02</v>
      </c>
      <c r="D13" s="6" t="e">
        <f aca="false">#REF!</f>
        <v>#REF!</v>
      </c>
      <c r="E13" s="7" t="e">
        <f aca="false">D13*C13</f>
        <v>#REF!</v>
      </c>
      <c r="F13" s="8"/>
      <c r="G13" s="8"/>
      <c r="H13" s="8"/>
    </row>
    <row r="14" customFormat="false" ht="15.75" hidden="false" customHeight="false" outlineLevel="0" collapsed="false">
      <c r="A14" s="4"/>
      <c r="B14" s="5" t="s">
        <v>592</v>
      </c>
      <c r="C14" s="6" t="n">
        <v>1</v>
      </c>
      <c r="D14" s="6" t="n">
        <f aca="false">213/20</f>
        <v>10.65</v>
      </c>
      <c r="E14" s="7" t="n">
        <f aca="false">D14*C14</f>
        <v>10.65</v>
      </c>
      <c r="F14" s="8"/>
      <c r="G14" s="8"/>
      <c r="H14" s="8"/>
    </row>
    <row r="15" customFormat="false" ht="15.75" hidden="false" customHeight="false" outlineLevel="0" collapsed="false">
      <c r="A15" s="4" t="s">
        <v>593</v>
      </c>
      <c r="B15" s="5" t="s">
        <v>594</v>
      </c>
      <c r="C15" s="6" t="n">
        <v>0.04</v>
      </c>
      <c r="D15" s="6" t="n">
        <v>2200</v>
      </c>
      <c r="E15" s="7" t="n">
        <f aca="false">D15*C15</f>
        <v>88</v>
      </c>
      <c r="F15" s="8" t="e">
        <f aca="false">SUM(E15:E21)</f>
        <v>#REF!</v>
      </c>
      <c r="G15" s="8" t="n">
        <v>750</v>
      </c>
      <c r="H15" s="9" t="e">
        <f aca="false">(G15-F15)/F15*100</f>
        <v>#REF!</v>
      </c>
    </row>
    <row r="16" customFormat="false" ht="15.75" hidden="false" customHeight="false" outlineLevel="0" collapsed="false">
      <c r="A16" s="4"/>
      <c r="B16" s="5" t="s">
        <v>560</v>
      </c>
      <c r="C16" s="6" t="n">
        <v>0.02</v>
      </c>
      <c r="D16" s="6" t="e">
        <f aca="false">#REF!</f>
        <v>#REF!</v>
      </c>
      <c r="E16" s="7" t="e">
        <f aca="false">D16*C16</f>
        <v>#REF!</v>
      </c>
      <c r="F16" s="8"/>
      <c r="G16" s="8"/>
      <c r="H16" s="8"/>
    </row>
    <row r="17" customFormat="false" ht="15.75" hidden="false" customHeight="false" outlineLevel="0" collapsed="false">
      <c r="A17" s="4"/>
      <c r="B17" s="5" t="s">
        <v>20</v>
      </c>
      <c r="C17" s="6" t="n">
        <v>0.02</v>
      </c>
      <c r="D17" s="6" t="e">
        <f aca="false">#REF!</f>
        <v>#REF!</v>
      </c>
      <c r="E17" s="7" t="e">
        <f aca="false">D17*C17</f>
        <v>#REF!</v>
      </c>
      <c r="F17" s="8"/>
      <c r="G17" s="8"/>
      <c r="H17" s="8"/>
    </row>
    <row r="18" customFormat="false" ht="15.75" hidden="false" customHeight="false" outlineLevel="0" collapsed="false">
      <c r="A18" s="4"/>
      <c r="B18" s="5" t="s">
        <v>595</v>
      </c>
      <c r="C18" s="6" t="n">
        <v>0.06</v>
      </c>
      <c r="D18" s="6" t="e">
        <f aca="false">#REF!</f>
        <v>#REF!</v>
      </c>
      <c r="E18" s="7" t="e">
        <f aca="false">D18*C18</f>
        <v>#REF!</v>
      </c>
      <c r="F18" s="8"/>
      <c r="G18" s="8"/>
      <c r="H18" s="8"/>
    </row>
    <row r="19" customFormat="false" ht="15.75" hidden="false" customHeight="false" outlineLevel="0" collapsed="false">
      <c r="A19" s="4"/>
      <c r="B19" s="5" t="s">
        <v>596</v>
      </c>
      <c r="C19" s="6" t="n">
        <v>0.001</v>
      </c>
      <c r="D19" s="6" t="n">
        <v>100</v>
      </c>
      <c r="E19" s="7" t="n">
        <f aca="false">D19*C19</f>
        <v>0.1</v>
      </c>
      <c r="F19" s="8"/>
      <c r="G19" s="8"/>
      <c r="H19" s="8"/>
    </row>
    <row r="20" customFormat="false" ht="15.75" hidden="false" customHeight="false" outlineLevel="0" collapsed="false">
      <c r="A20" s="4"/>
      <c r="B20" s="5" t="s">
        <v>597</v>
      </c>
      <c r="C20" s="6" t="n">
        <v>0.001</v>
      </c>
      <c r="D20" s="6" t="n">
        <v>1000</v>
      </c>
      <c r="E20" s="7" t="n">
        <f aca="false">D20*C20</f>
        <v>1</v>
      </c>
      <c r="F20" s="8"/>
      <c r="G20" s="8"/>
      <c r="H20" s="8"/>
    </row>
    <row r="21" customFormat="false" ht="15.75" hidden="false" customHeight="false" outlineLevel="0" collapsed="false">
      <c r="A21" s="4"/>
      <c r="B21" s="5" t="s">
        <v>598</v>
      </c>
      <c r="C21" s="6" t="n">
        <v>0.03</v>
      </c>
      <c r="D21" s="6"/>
      <c r="E21" s="7" t="n">
        <f aca="false">D21*C21</f>
        <v>0</v>
      </c>
      <c r="F21" s="8"/>
      <c r="G21" s="8"/>
      <c r="H21" s="8"/>
    </row>
    <row r="22" customFormat="false" ht="15.75" hidden="false" customHeight="false" outlineLevel="0" collapsed="false">
      <c r="A22" s="4" t="s">
        <v>599</v>
      </c>
      <c r="B22" s="5" t="s">
        <v>600</v>
      </c>
      <c r="C22" s="6" t="n">
        <v>0.04</v>
      </c>
      <c r="D22" s="6" t="e">
        <f aca="false">#REF!</f>
        <v>#REF!</v>
      </c>
      <c r="E22" s="7" t="e">
        <f aca="false">D22*C22</f>
        <v>#REF!</v>
      </c>
      <c r="F22" s="8" t="e">
        <f aca="false">SUM(E22:E27)</f>
        <v>#REF!</v>
      </c>
      <c r="G22" s="8" t="n">
        <v>1100</v>
      </c>
      <c r="H22" s="9" t="e">
        <f aca="false">(G22-F22)/F22*100</f>
        <v>#REF!</v>
      </c>
    </row>
    <row r="23" customFormat="false" ht="15.75" hidden="false" customHeight="false" outlineLevel="0" collapsed="false">
      <c r="A23" s="4"/>
      <c r="B23" s="5" t="s">
        <v>601</v>
      </c>
      <c r="C23" s="6" t="n">
        <v>0.04</v>
      </c>
      <c r="D23" s="6" t="e">
        <f aca="false">#REF!</f>
        <v>#REF!</v>
      </c>
      <c r="E23" s="7" t="e">
        <f aca="false">D23*C23</f>
        <v>#REF!</v>
      </c>
      <c r="F23" s="8"/>
      <c r="G23" s="8"/>
      <c r="H23" s="8"/>
    </row>
    <row r="24" customFormat="false" ht="15.75" hidden="false" customHeight="false" outlineLevel="0" collapsed="false">
      <c r="A24" s="4"/>
      <c r="B24" s="37" t="s">
        <v>602</v>
      </c>
      <c r="C24" s="6" t="n">
        <v>0.04</v>
      </c>
      <c r="D24" s="6" t="n">
        <v>350</v>
      </c>
      <c r="E24" s="7" t="n">
        <f aca="false">D24*C24</f>
        <v>14</v>
      </c>
      <c r="F24" s="8"/>
      <c r="G24" s="8"/>
      <c r="H24" s="8"/>
    </row>
    <row r="25" customFormat="false" ht="15.75" hidden="false" customHeight="false" outlineLevel="0" collapsed="false">
      <c r="A25" s="4"/>
      <c r="B25" s="5" t="s">
        <v>603</v>
      </c>
      <c r="C25" s="6" t="n">
        <v>0.04</v>
      </c>
      <c r="D25" s="6" t="e">
        <f aca="false">#REF!</f>
        <v>#REF!</v>
      </c>
      <c r="E25" s="7" t="e">
        <f aca="false">D25*C25</f>
        <v>#REF!</v>
      </c>
      <c r="F25" s="8"/>
      <c r="G25" s="8"/>
      <c r="H25" s="8"/>
    </row>
    <row r="26" customFormat="false" ht="15.75" hidden="false" customHeight="false" outlineLevel="0" collapsed="false">
      <c r="A26" s="4"/>
      <c r="B26" s="5"/>
      <c r="C26" s="6"/>
      <c r="D26" s="6"/>
      <c r="E26" s="7" t="n">
        <f aca="false">D26*C26</f>
        <v>0</v>
      </c>
      <c r="F26" s="8"/>
      <c r="G26" s="8"/>
      <c r="H26" s="8"/>
    </row>
    <row r="27" customFormat="false" ht="15.75" hidden="false" customHeight="false" outlineLevel="0" collapsed="false">
      <c r="A27" s="4"/>
      <c r="B27" s="5"/>
      <c r="C27" s="6"/>
      <c r="D27" s="6"/>
      <c r="E27" s="7" t="n">
        <f aca="false">D27*C27</f>
        <v>0</v>
      </c>
      <c r="F27" s="8"/>
      <c r="G27" s="8"/>
      <c r="H27" s="8"/>
    </row>
    <row r="28" customFormat="false" ht="15.75" hidden="false" customHeight="false" outlineLevel="0" collapsed="false">
      <c r="A28" s="4" t="s">
        <v>604</v>
      </c>
      <c r="B28" s="5" t="s">
        <v>605</v>
      </c>
      <c r="C28" s="6" t="n">
        <v>0.05</v>
      </c>
      <c r="D28" s="6" t="e">
        <f aca="false">#REF!</f>
        <v>#REF!</v>
      </c>
      <c r="E28" s="7" t="e">
        <f aca="false">D28*C28</f>
        <v>#REF!</v>
      </c>
      <c r="F28" s="8" t="e">
        <f aca="false">SUM(E28:E33)</f>
        <v>#REF!</v>
      </c>
      <c r="G28" s="8" t="n">
        <v>1100</v>
      </c>
      <c r="H28" s="9" t="e">
        <f aca="false">(G28-F28)/F28*100</f>
        <v>#REF!</v>
      </c>
    </row>
    <row r="29" customFormat="false" ht="15.75" hidden="false" customHeight="false" outlineLevel="0" collapsed="false">
      <c r="A29" s="4"/>
      <c r="B29" s="5" t="s">
        <v>606</v>
      </c>
      <c r="C29" s="6" t="n">
        <v>0.04</v>
      </c>
      <c r="D29" s="6" t="e">
        <f aca="false">#REF!</f>
        <v>#REF!</v>
      </c>
      <c r="E29" s="7" t="e">
        <f aca="false">D29*C29</f>
        <v>#REF!</v>
      </c>
      <c r="F29" s="8"/>
      <c r="G29" s="8"/>
      <c r="H29" s="8"/>
    </row>
    <row r="30" customFormat="false" ht="15.75" hidden="false" customHeight="false" outlineLevel="0" collapsed="false">
      <c r="A30" s="4"/>
      <c r="B30" s="5" t="s">
        <v>552</v>
      </c>
      <c r="C30" s="6" t="n">
        <v>0.01</v>
      </c>
      <c r="D30" s="6" t="e">
        <f aca="false">#REF!</f>
        <v>#REF!</v>
      </c>
      <c r="E30" s="7" t="e">
        <f aca="false">D30*C30</f>
        <v>#REF!</v>
      </c>
      <c r="F30" s="8"/>
      <c r="G30" s="8"/>
      <c r="H30" s="8"/>
    </row>
    <row r="31" customFormat="false" ht="15.75" hidden="false" customHeight="false" outlineLevel="0" collapsed="false">
      <c r="A31" s="4"/>
      <c r="B31" s="5" t="s">
        <v>20</v>
      </c>
      <c r="C31" s="6" t="n">
        <v>0.02</v>
      </c>
      <c r="D31" s="6" t="e">
        <f aca="false">#REF!</f>
        <v>#REF!</v>
      </c>
      <c r="E31" s="7" t="e">
        <f aca="false">D31*C31</f>
        <v>#REF!</v>
      </c>
      <c r="F31" s="8"/>
      <c r="G31" s="8"/>
      <c r="H31" s="8"/>
    </row>
    <row r="32" customFormat="false" ht="15.75" hidden="false" customHeight="false" outlineLevel="0" collapsed="false">
      <c r="A32" s="4"/>
      <c r="B32" s="5" t="s">
        <v>598</v>
      </c>
      <c r="C32" s="6" t="n">
        <v>0.03</v>
      </c>
      <c r="D32" s="6"/>
      <c r="E32" s="7" t="n">
        <f aca="false">D32*C32</f>
        <v>0</v>
      </c>
      <c r="F32" s="8"/>
      <c r="G32" s="8"/>
      <c r="H32" s="8"/>
    </row>
    <row r="33" customFormat="false" ht="15.75" hidden="false" customHeight="false" outlineLevel="0" collapsed="false">
      <c r="A33" s="4"/>
      <c r="B33" s="5"/>
      <c r="C33" s="6"/>
      <c r="D33" s="6"/>
      <c r="E33" s="7" t="n">
        <f aca="false">D33*C33</f>
        <v>0</v>
      </c>
      <c r="F33" s="8"/>
      <c r="G33" s="8"/>
      <c r="H33" s="8"/>
    </row>
    <row r="34" customFormat="false" ht="15.75" hidden="false" customHeight="false" outlineLevel="0" collapsed="false">
      <c r="A34" s="4"/>
      <c r="B34" s="5"/>
      <c r="C34" s="6"/>
      <c r="D34" s="6"/>
      <c r="E34" s="7" t="n">
        <f aca="false">D34*C34</f>
        <v>0</v>
      </c>
      <c r="F34" s="8" t="n">
        <f aca="false">SUM(E34:E39)</f>
        <v>0</v>
      </c>
      <c r="G34" s="8"/>
      <c r="H34" s="9" t="e">
        <f aca="false">(G34-F34)/F34*100</f>
        <v>#DIV/0!</v>
      </c>
    </row>
    <row r="35" customFormat="false" ht="15.75" hidden="false" customHeight="false" outlineLevel="0" collapsed="false">
      <c r="A35" s="4"/>
      <c r="B35" s="5"/>
      <c r="C35" s="6"/>
      <c r="D35" s="6"/>
      <c r="E35" s="7" t="n">
        <f aca="false">D35*C35</f>
        <v>0</v>
      </c>
      <c r="F35" s="8"/>
      <c r="G35" s="8"/>
      <c r="H35" s="8"/>
    </row>
    <row r="36" customFormat="false" ht="15.75" hidden="false" customHeight="false" outlineLevel="0" collapsed="false">
      <c r="A36" s="4"/>
      <c r="B36" s="5"/>
      <c r="C36" s="6"/>
      <c r="D36" s="6"/>
      <c r="E36" s="7" t="n">
        <f aca="false">D36*C36</f>
        <v>0</v>
      </c>
      <c r="F36" s="8"/>
      <c r="G36" s="8"/>
      <c r="H36" s="8"/>
    </row>
    <row r="37" customFormat="false" ht="15.75" hidden="false" customHeight="false" outlineLevel="0" collapsed="false">
      <c r="A37" s="4"/>
      <c r="B37" s="5"/>
      <c r="C37" s="6"/>
      <c r="D37" s="6"/>
      <c r="E37" s="7" t="n">
        <f aca="false">D37*C37</f>
        <v>0</v>
      </c>
      <c r="F37" s="8"/>
      <c r="G37" s="8"/>
      <c r="H37" s="8"/>
    </row>
    <row r="38" customFormat="false" ht="15.75" hidden="false" customHeight="false" outlineLevel="0" collapsed="false">
      <c r="A38" s="4"/>
      <c r="B38" s="5"/>
      <c r="C38" s="6"/>
      <c r="D38" s="6"/>
      <c r="E38" s="7" t="n">
        <f aca="false">D38*C38</f>
        <v>0</v>
      </c>
      <c r="F38" s="8"/>
      <c r="G38" s="8"/>
      <c r="H38" s="8"/>
    </row>
    <row r="39" customFormat="false" ht="15.75" hidden="false" customHeight="false" outlineLevel="0" collapsed="false">
      <c r="A39" s="4"/>
      <c r="B39" s="5"/>
      <c r="C39" s="6"/>
      <c r="D39" s="6"/>
      <c r="E39" s="7" t="n">
        <f aca="false">D39*C39</f>
        <v>0</v>
      </c>
      <c r="F39" s="8"/>
      <c r="G39" s="8"/>
      <c r="H39" s="8"/>
    </row>
    <row r="40" customFormat="false" ht="15.75" hidden="false" customHeight="false" outlineLevel="0" collapsed="false">
      <c r="A40" s="4"/>
      <c r="B40" s="5"/>
      <c r="C40" s="6"/>
      <c r="D40" s="6"/>
      <c r="E40" s="7" t="n">
        <f aca="false">D40*C40</f>
        <v>0</v>
      </c>
      <c r="F40" s="8" t="n">
        <f aca="false">SUM(E40:E45)</f>
        <v>0</v>
      </c>
      <c r="G40" s="8" t="n">
        <v>600</v>
      </c>
      <c r="H40" s="9" t="e">
        <f aca="false">(G40-F40)/F40*100</f>
        <v>#DIV/0!</v>
      </c>
    </row>
    <row r="41" customFormat="false" ht="15.75" hidden="false" customHeight="false" outlineLevel="0" collapsed="false">
      <c r="A41" s="4"/>
      <c r="B41" s="5"/>
      <c r="C41" s="6"/>
      <c r="D41" s="6"/>
      <c r="E41" s="7" t="n">
        <f aca="false">D41*C41</f>
        <v>0</v>
      </c>
      <c r="F41" s="8"/>
      <c r="G41" s="8"/>
      <c r="H41" s="8"/>
    </row>
    <row r="42" customFormat="false" ht="15.75" hidden="false" customHeight="false" outlineLevel="0" collapsed="false">
      <c r="A42" s="4"/>
      <c r="B42" s="5"/>
      <c r="C42" s="6"/>
      <c r="D42" s="6"/>
      <c r="E42" s="7" t="n">
        <f aca="false">D42*C42</f>
        <v>0</v>
      </c>
      <c r="F42" s="8"/>
      <c r="G42" s="8"/>
      <c r="H42" s="8"/>
    </row>
    <row r="43" customFormat="false" ht="15.75" hidden="false" customHeight="false" outlineLevel="0" collapsed="false">
      <c r="A43" s="4"/>
      <c r="B43" s="5"/>
      <c r="C43" s="6"/>
      <c r="D43" s="6"/>
      <c r="E43" s="7" t="n">
        <f aca="false">D43*C43</f>
        <v>0</v>
      </c>
      <c r="F43" s="8"/>
      <c r="G43" s="8"/>
      <c r="H43" s="8"/>
    </row>
    <row r="44" customFormat="false" ht="15.75" hidden="false" customHeight="false" outlineLevel="0" collapsed="false">
      <c r="A44" s="4"/>
      <c r="B44" s="5"/>
      <c r="C44" s="6"/>
      <c r="D44" s="6"/>
      <c r="E44" s="7" t="n">
        <f aca="false">D44*C44</f>
        <v>0</v>
      </c>
      <c r="F44" s="8"/>
      <c r="G44" s="8"/>
      <c r="H44" s="8"/>
    </row>
    <row r="45" customFormat="false" ht="15.75" hidden="false" customHeight="false" outlineLevel="0" collapsed="false">
      <c r="A45" s="4"/>
      <c r="B45" s="5"/>
      <c r="C45" s="6"/>
      <c r="D45" s="6"/>
      <c r="E45" s="7" t="n">
        <f aca="false">D45*C45</f>
        <v>0</v>
      </c>
      <c r="F45" s="8"/>
      <c r="G45" s="8"/>
      <c r="H45" s="8"/>
    </row>
    <row r="46" customFormat="false" ht="15.75" hidden="false" customHeight="false" outlineLevel="0" collapsed="false">
      <c r="A46" s="4"/>
      <c r="B46" s="5"/>
      <c r="C46" s="6"/>
      <c r="D46" s="6"/>
      <c r="E46" s="7" t="n">
        <f aca="false">D46*C46</f>
        <v>0</v>
      </c>
      <c r="F46" s="8" t="n">
        <f aca="false">SUM(E46:E51)</f>
        <v>0</v>
      </c>
      <c r="G46" s="8"/>
      <c r="H46" s="9" t="e">
        <f aca="false">(G46-F46)/F46*100</f>
        <v>#DIV/0!</v>
      </c>
    </row>
    <row r="47" customFormat="false" ht="15.75" hidden="false" customHeight="false" outlineLevel="0" collapsed="false">
      <c r="A47" s="4"/>
      <c r="B47" s="5"/>
      <c r="C47" s="6"/>
      <c r="D47" s="6"/>
      <c r="E47" s="7" t="n">
        <f aca="false">D47*C47</f>
        <v>0</v>
      </c>
      <c r="F47" s="8"/>
      <c r="G47" s="8"/>
      <c r="H47" s="8"/>
    </row>
    <row r="48" customFormat="false" ht="15.75" hidden="false" customHeight="false" outlineLevel="0" collapsed="false">
      <c r="A48" s="4"/>
      <c r="B48" s="5"/>
      <c r="C48" s="6"/>
      <c r="D48" s="6"/>
      <c r="E48" s="7" t="n">
        <f aca="false">D48*C48</f>
        <v>0</v>
      </c>
      <c r="F48" s="8"/>
      <c r="G48" s="8"/>
      <c r="H48" s="8"/>
    </row>
    <row r="49" customFormat="false" ht="15.75" hidden="false" customHeight="false" outlineLevel="0" collapsed="false">
      <c r="A49" s="4"/>
      <c r="B49" s="5"/>
      <c r="C49" s="6"/>
      <c r="D49" s="6"/>
      <c r="E49" s="7" t="n">
        <f aca="false">D49*C49</f>
        <v>0</v>
      </c>
      <c r="F49" s="8"/>
      <c r="G49" s="8"/>
      <c r="H49" s="8"/>
    </row>
    <row r="50" customFormat="false" ht="15.75" hidden="false" customHeight="false" outlineLevel="0" collapsed="false">
      <c r="A50" s="4"/>
      <c r="B50" s="5"/>
      <c r="C50" s="6"/>
      <c r="D50" s="6"/>
      <c r="E50" s="7" t="n">
        <f aca="false">D50*C50</f>
        <v>0</v>
      </c>
      <c r="F50" s="8"/>
      <c r="G50" s="8"/>
      <c r="H50" s="8"/>
    </row>
    <row r="51" customFormat="false" ht="15.75" hidden="false" customHeight="false" outlineLevel="0" collapsed="false">
      <c r="A51" s="4"/>
      <c r="B51" s="5"/>
      <c r="C51" s="6"/>
      <c r="D51" s="6"/>
      <c r="E51" s="7" t="n">
        <f aca="false">D51*C51</f>
        <v>0</v>
      </c>
      <c r="F51" s="8"/>
      <c r="G51" s="8"/>
      <c r="H51" s="8"/>
    </row>
    <row r="52" customFormat="false" ht="15.75" hidden="false" customHeight="false" outlineLevel="0" collapsed="false">
      <c r="A52" s="4"/>
      <c r="B52" s="5"/>
      <c r="C52" s="6"/>
      <c r="D52" s="6"/>
      <c r="E52" s="7" t="n">
        <f aca="false">D52*C52</f>
        <v>0</v>
      </c>
      <c r="F52" s="8" t="n">
        <f aca="false">SUM(E52:E57)</f>
        <v>0</v>
      </c>
      <c r="G52" s="8"/>
      <c r="H52" s="9" t="e">
        <f aca="false">(G52-F52)/F52*100</f>
        <v>#DIV/0!</v>
      </c>
    </row>
    <row r="53" customFormat="false" ht="15.75" hidden="false" customHeight="false" outlineLevel="0" collapsed="false">
      <c r="A53" s="4"/>
      <c r="B53" s="5"/>
      <c r="C53" s="6"/>
      <c r="D53" s="6"/>
      <c r="E53" s="7" t="n">
        <f aca="false">D53*C53</f>
        <v>0</v>
      </c>
      <c r="F53" s="8"/>
      <c r="G53" s="8"/>
      <c r="H53" s="8"/>
    </row>
    <row r="54" customFormat="false" ht="15.75" hidden="false" customHeight="false" outlineLevel="0" collapsed="false">
      <c r="A54" s="4"/>
      <c r="B54" s="5"/>
      <c r="C54" s="6"/>
      <c r="D54" s="6"/>
      <c r="E54" s="7" t="n">
        <f aca="false">D54*C54</f>
        <v>0</v>
      </c>
      <c r="F54" s="8"/>
      <c r="G54" s="8"/>
      <c r="H54" s="8"/>
    </row>
    <row r="55" customFormat="false" ht="15.75" hidden="false" customHeight="false" outlineLevel="0" collapsed="false">
      <c r="A55" s="4"/>
      <c r="B55" s="5"/>
      <c r="C55" s="6"/>
      <c r="D55" s="6"/>
      <c r="E55" s="7" t="n">
        <f aca="false">D55*C55</f>
        <v>0</v>
      </c>
      <c r="F55" s="8"/>
      <c r="G55" s="8"/>
      <c r="H55" s="8"/>
    </row>
    <row r="56" customFormat="false" ht="15.75" hidden="false" customHeight="false" outlineLevel="0" collapsed="false">
      <c r="A56" s="4"/>
      <c r="B56" s="5"/>
      <c r="C56" s="6"/>
      <c r="D56" s="6"/>
      <c r="E56" s="7" t="n">
        <f aca="false">D56*C56</f>
        <v>0</v>
      </c>
      <c r="F56" s="8"/>
      <c r="G56" s="8"/>
      <c r="H56" s="8"/>
    </row>
    <row r="57" customFormat="false" ht="15.75" hidden="false" customHeight="false" outlineLevel="0" collapsed="false">
      <c r="A57" s="4"/>
      <c r="B57" s="5"/>
      <c r="C57" s="6"/>
      <c r="D57" s="6"/>
      <c r="E57" s="7" t="n">
        <f aca="false">D57*C57</f>
        <v>0</v>
      </c>
      <c r="F57" s="8"/>
      <c r="G57" s="8"/>
      <c r="H57" s="8"/>
    </row>
    <row r="58" customFormat="false" ht="15.75" hidden="false" customHeight="false" outlineLevel="0" collapsed="false">
      <c r="A58" s="4"/>
      <c r="B58" s="5"/>
      <c r="C58" s="6"/>
      <c r="D58" s="6"/>
      <c r="E58" s="7" t="n">
        <f aca="false">D58*C58</f>
        <v>0</v>
      </c>
      <c r="F58" s="8" t="n">
        <f aca="false">SUM(E58:E63)</f>
        <v>0</v>
      </c>
      <c r="G58" s="8" t="n">
        <v>1000</v>
      </c>
      <c r="H58" s="9" t="e">
        <f aca="false">(G58-F58)/F58*100</f>
        <v>#DIV/0!</v>
      </c>
    </row>
    <row r="59" customFormat="false" ht="15.75" hidden="false" customHeight="false" outlineLevel="0" collapsed="false">
      <c r="A59" s="4"/>
      <c r="B59" s="5"/>
      <c r="C59" s="6"/>
      <c r="D59" s="6"/>
      <c r="E59" s="7" t="n">
        <f aca="false">D59*C59</f>
        <v>0</v>
      </c>
      <c r="F59" s="8"/>
      <c r="G59" s="8"/>
      <c r="H59" s="8"/>
    </row>
    <row r="60" customFormat="false" ht="15.75" hidden="false" customHeight="false" outlineLevel="0" collapsed="false">
      <c r="A60" s="4"/>
      <c r="B60" s="5"/>
      <c r="C60" s="6"/>
      <c r="D60" s="6"/>
      <c r="E60" s="7" t="n">
        <f aca="false">D60*C60</f>
        <v>0</v>
      </c>
      <c r="F60" s="8"/>
      <c r="G60" s="8"/>
      <c r="H60" s="8"/>
    </row>
    <row r="61" customFormat="false" ht="15.75" hidden="false" customHeight="false" outlineLevel="0" collapsed="false">
      <c r="A61" s="4"/>
      <c r="B61" s="5"/>
      <c r="C61" s="6"/>
      <c r="D61" s="6"/>
      <c r="E61" s="7" t="n">
        <f aca="false">D61*C61</f>
        <v>0</v>
      </c>
      <c r="F61" s="8"/>
      <c r="G61" s="8"/>
      <c r="H61" s="8"/>
    </row>
    <row r="62" customFormat="false" ht="15.75" hidden="false" customHeight="false" outlineLevel="0" collapsed="false">
      <c r="A62" s="4"/>
      <c r="B62" s="5"/>
      <c r="C62" s="6"/>
      <c r="D62" s="6"/>
      <c r="E62" s="7" t="n">
        <f aca="false">D62*C62</f>
        <v>0</v>
      </c>
      <c r="F62" s="8"/>
      <c r="G62" s="8"/>
      <c r="H62" s="8"/>
    </row>
    <row r="63" customFormat="false" ht="15.75" hidden="false" customHeight="false" outlineLevel="0" collapsed="false">
      <c r="A63" s="4"/>
      <c r="B63" s="5"/>
      <c r="C63" s="6"/>
      <c r="D63" s="6"/>
      <c r="E63" s="7" t="n">
        <f aca="false">D63*C63</f>
        <v>0</v>
      </c>
      <c r="F63" s="8"/>
      <c r="G63" s="8"/>
      <c r="H63" s="8"/>
    </row>
    <row r="64" customFormat="false" ht="15.75" hidden="false" customHeight="false" outlineLevel="0" collapsed="false">
      <c r="A64" s="4"/>
      <c r="B64" s="5"/>
      <c r="C64" s="6"/>
      <c r="D64" s="6"/>
      <c r="E64" s="7" t="n">
        <f aca="false">D64*C64</f>
        <v>0</v>
      </c>
      <c r="F64" s="8" t="n">
        <f aca="false">SUM(E64:E69)</f>
        <v>0</v>
      </c>
      <c r="G64" s="8" t="n">
        <v>1000</v>
      </c>
      <c r="H64" s="9" t="e">
        <f aca="false">(G64-F64)/F64*100</f>
        <v>#DIV/0!</v>
      </c>
    </row>
    <row r="65" customFormat="false" ht="15.75" hidden="false" customHeight="false" outlineLevel="0" collapsed="false">
      <c r="A65" s="4"/>
      <c r="B65" s="5"/>
      <c r="C65" s="6"/>
      <c r="D65" s="6"/>
      <c r="E65" s="7" t="n">
        <f aca="false">D65*C65</f>
        <v>0</v>
      </c>
      <c r="F65" s="8"/>
      <c r="G65" s="8"/>
      <c r="H65" s="8"/>
    </row>
    <row r="66" customFormat="false" ht="15.75" hidden="false" customHeight="false" outlineLevel="0" collapsed="false">
      <c r="A66" s="4"/>
      <c r="B66" s="5"/>
      <c r="C66" s="6"/>
      <c r="D66" s="6"/>
      <c r="E66" s="7" t="n">
        <f aca="false">D66*C66</f>
        <v>0</v>
      </c>
      <c r="F66" s="8"/>
      <c r="G66" s="8"/>
      <c r="H66" s="8"/>
    </row>
    <row r="67" customFormat="false" ht="15.75" hidden="false" customHeight="false" outlineLevel="0" collapsed="false">
      <c r="A67" s="4"/>
      <c r="B67" s="5"/>
      <c r="C67" s="6"/>
      <c r="D67" s="6"/>
      <c r="E67" s="7" t="n">
        <f aca="false">D67*C67</f>
        <v>0</v>
      </c>
      <c r="F67" s="8"/>
      <c r="G67" s="8"/>
      <c r="H67" s="8"/>
    </row>
    <row r="68" customFormat="false" ht="15.75" hidden="false" customHeight="false" outlineLevel="0" collapsed="false">
      <c r="A68" s="4"/>
      <c r="B68" s="5"/>
      <c r="C68" s="6"/>
      <c r="D68" s="6"/>
      <c r="E68" s="7" t="n">
        <f aca="false">D68*C68</f>
        <v>0</v>
      </c>
      <c r="F68" s="8"/>
      <c r="G68" s="8"/>
      <c r="H68" s="8"/>
    </row>
    <row r="69" customFormat="false" ht="15.75" hidden="false" customHeight="false" outlineLevel="0" collapsed="false">
      <c r="A69" s="4"/>
      <c r="B69" s="5"/>
      <c r="C69" s="6"/>
      <c r="D69" s="6"/>
      <c r="E69" s="7" t="n">
        <f aca="false">D69*C69</f>
        <v>0</v>
      </c>
      <c r="F69" s="8"/>
      <c r="G69" s="8"/>
      <c r="H69" s="8"/>
    </row>
    <row r="70" customFormat="false" ht="15.75" hidden="false" customHeight="false" outlineLevel="0" collapsed="false">
      <c r="A70" s="10"/>
      <c r="B70" s="11"/>
      <c r="C70" s="12"/>
      <c r="D70" s="12"/>
      <c r="E70" s="7" t="n">
        <f aca="false">D70*C70</f>
        <v>0</v>
      </c>
      <c r="F70" s="12"/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false" outlineLevel="0" collapsed="false">
      <c r="A71" s="10"/>
      <c r="B71" s="11"/>
      <c r="C71" s="12"/>
      <c r="D71" s="12"/>
      <c r="E71" s="12"/>
      <c r="F71" s="12"/>
      <c r="G71" s="12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false" outlineLevel="0" collapsed="false">
      <c r="A72" s="10"/>
      <c r="B72" s="11"/>
      <c r="C72" s="12"/>
      <c r="D72" s="12"/>
      <c r="E72" s="12"/>
      <c r="F72" s="12"/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false" outlineLevel="0" collapsed="false">
      <c r="A73" s="10"/>
      <c r="B73" s="11"/>
      <c r="C73" s="12"/>
      <c r="D73" s="12"/>
      <c r="E73" s="12"/>
      <c r="F73" s="12"/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false" outlineLevel="0" collapsed="false">
      <c r="A74" s="10"/>
      <c r="B74" s="11"/>
      <c r="C74" s="12"/>
      <c r="D74" s="12"/>
      <c r="E74" s="12"/>
      <c r="F74" s="12"/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false" outlineLevel="0" collapsed="false">
      <c r="A75" s="10"/>
      <c r="B75" s="11"/>
      <c r="C75" s="12"/>
      <c r="D75" s="12"/>
      <c r="E75" s="12"/>
      <c r="F75" s="12"/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false" outlineLevel="0" collapsed="false">
      <c r="A76" s="10"/>
      <c r="B76" s="11"/>
      <c r="C76" s="12"/>
      <c r="D76" s="12"/>
      <c r="E76" s="12"/>
      <c r="F76" s="12"/>
      <c r="G76" s="12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false" outlineLevel="0" collapsed="false">
      <c r="A77" s="10"/>
      <c r="B77" s="11"/>
      <c r="C77" s="12"/>
      <c r="D77" s="12"/>
      <c r="E77" s="12"/>
      <c r="F77" s="12"/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false" outlineLevel="0" collapsed="false">
      <c r="A78" s="10"/>
      <c r="B78" s="11"/>
      <c r="C78" s="12"/>
      <c r="D78" s="12"/>
      <c r="E78" s="12"/>
      <c r="F78" s="12"/>
      <c r="G78" s="12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false" outlineLevel="0" collapsed="false">
      <c r="A79" s="10"/>
      <c r="B79" s="11"/>
      <c r="C79" s="12"/>
      <c r="D79" s="12"/>
      <c r="E79" s="12"/>
      <c r="F79" s="12"/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false" outlineLevel="0" collapsed="false">
      <c r="A80" s="10"/>
      <c r="B80" s="11"/>
      <c r="C80" s="12"/>
      <c r="D80" s="12"/>
      <c r="E80" s="12"/>
      <c r="F80" s="12"/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1"/>
      <c r="C81" s="12"/>
      <c r="D81" s="12"/>
      <c r="E81" s="12"/>
      <c r="F81" s="12"/>
      <c r="G81" s="12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1"/>
      <c r="C82" s="12"/>
      <c r="D82" s="12"/>
      <c r="E82" s="12"/>
      <c r="F82" s="12"/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1"/>
      <c r="C83" s="12"/>
      <c r="D83" s="12"/>
      <c r="E83" s="12"/>
      <c r="F83" s="12"/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1"/>
      <c r="C84" s="12"/>
      <c r="D84" s="12"/>
      <c r="E84" s="12"/>
      <c r="F84" s="12"/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1"/>
      <c r="C85" s="12"/>
      <c r="D85" s="12"/>
      <c r="E85" s="12"/>
      <c r="F85" s="12"/>
      <c r="G85" s="12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1"/>
      <c r="C86" s="12"/>
      <c r="D86" s="12"/>
      <c r="E86" s="12"/>
      <c r="F86" s="12"/>
      <c r="G86" s="12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1"/>
      <c r="C87" s="12"/>
      <c r="D87" s="12"/>
      <c r="E87" s="12"/>
      <c r="F87" s="12"/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1"/>
      <c r="C88" s="12"/>
      <c r="D88" s="12"/>
      <c r="E88" s="12"/>
      <c r="F88" s="12"/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1"/>
      <c r="C89" s="12"/>
      <c r="D89" s="12"/>
      <c r="E89" s="12"/>
      <c r="F89" s="12"/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1"/>
      <c r="C90" s="12"/>
      <c r="D90" s="12"/>
      <c r="E90" s="12"/>
      <c r="F90" s="12"/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1"/>
      <c r="C91" s="12"/>
      <c r="D91" s="12"/>
      <c r="E91" s="12"/>
      <c r="F91" s="12"/>
      <c r="G91" s="12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B92" s="13"/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B93" s="13"/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B94" s="13"/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B95" s="13"/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B96" s="13"/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B97" s="13"/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B98" s="13"/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B99" s="13"/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B100" s="13"/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B101" s="13"/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B102" s="13"/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B103" s="13"/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B104" s="13"/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B105" s="13"/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B106" s="13"/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B107" s="13"/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B108" s="13"/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B109" s="13"/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B110" s="13"/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B111" s="13"/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B112" s="13"/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B113" s="13"/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B114" s="13"/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B115" s="13"/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B116" s="13"/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B117" s="13"/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B118" s="13"/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B119" s="13"/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B120" s="13"/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B121" s="13"/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B122" s="13"/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B123" s="13"/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B124" s="13"/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B125" s="13"/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B126" s="13"/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B127" s="13"/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B128" s="13"/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B129" s="13"/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B130" s="13"/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B131" s="13"/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B132" s="13"/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B133" s="13"/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B134" s="13"/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B135" s="13"/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B136" s="13"/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B137" s="13"/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B138" s="13"/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B139" s="13"/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B140" s="13"/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B141" s="13"/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B142" s="13"/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B143" s="13"/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B144" s="13"/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B145" s="13"/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B146" s="13"/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B147" s="13"/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B148" s="13"/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B149" s="13"/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B150" s="13"/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B151" s="13"/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B152" s="13"/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B153" s="13"/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B154" s="13"/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B155" s="13"/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B156" s="13"/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B157" s="13"/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B158" s="13"/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B159" s="13"/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B160" s="13"/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B161" s="13"/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B162" s="13"/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B163" s="13"/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B164" s="13"/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B165" s="13"/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B166" s="13"/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B167" s="13"/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B168" s="13"/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B169" s="13"/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B170" s="13"/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B171" s="13"/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B172" s="13"/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B173" s="13"/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B174" s="13"/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B175" s="13"/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B176" s="13"/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B177" s="13"/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B178" s="13"/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B179" s="13"/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B180" s="13"/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B181" s="13"/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B182" s="13"/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B183" s="13"/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B184" s="13"/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B185" s="13"/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B186" s="13"/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B187" s="13"/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B188" s="13"/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B189" s="13"/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B190" s="13"/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B191" s="13"/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B192" s="13"/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B193" s="13"/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B194" s="13"/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B195" s="13"/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B196" s="13"/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B197" s="13"/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B198" s="13"/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B199" s="13"/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B200" s="13"/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B201" s="13"/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B202" s="13"/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B203" s="13"/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B204" s="13"/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B205" s="13"/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B206" s="13"/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B207" s="13"/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B208" s="13"/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B209" s="13"/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B210" s="13"/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B211" s="13"/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B212" s="13"/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B213" s="13"/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B214" s="13"/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B215" s="13"/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B216" s="13"/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B217" s="13"/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B218" s="13"/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B219" s="13"/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B220" s="13"/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B221" s="13"/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B222" s="13"/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B223" s="13"/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B224" s="13"/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B225" s="13"/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B226" s="13"/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B227" s="13"/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B228" s="13"/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B229" s="13"/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B230" s="13"/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B231" s="13"/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B232" s="13"/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B233" s="13"/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B234" s="13"/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B235" s="13"/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B236" s="13"/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B237" s="13"/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B238" s="13"/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B239" s="13"/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B240" s="13"/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B241" s="13"/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B242" s="13"/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B243" s="13"/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B244" s="13"/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B245" s="13"/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B246" s="13"/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B247" s="13"/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B248" s="13"/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B249" s="13"/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B250" s="13"/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B251" s="13"/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B252" s="13"/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B253" s="13"/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B254" s="13"/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B255" s="13"/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B256" s="13"/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B257" s="13"/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B258" s="13"/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B259" s="13"/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B260" s="13"/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B261" s="13"/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B262" s="13"/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B263" s="13"/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B264" s="13"/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B265" s="13"/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B266" s="13"/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B267" s="13"/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B268" s="13"/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B269" s="13"/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B270" s="13"/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B271" s="13"/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B272" s="13"/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B273" s="13"/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B274" s="13"/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B275" s="13"/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B276" s="13"/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B277" s="13"/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B278" s="13"/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B279" s="13"/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B280" s="13"/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B281" s="13"/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B282" s="13"/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B283" s="13"/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B284" s="13"/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B285" s="13"/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B286" s="13"/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B287" s="13"/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B288" s="13"/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B289" s="13"/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B290" s="13"/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B291" s="13"/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B292" s="13"/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B293" s="13"/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B294" s="13"/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B295" s="13"/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B296" s="13"/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B297" s="13"/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B298" s="13"/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B299" s="13"/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B300" s="13"/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B301" s="13"/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B302" s="13"/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B303" s="13"/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B304" s="13"/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B305" s="13"/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B306" s="13"/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B307" s="13"/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B308" s="13"/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B309" s="13"/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B310" s="13"/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B311" s="13"/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B312" s="13"/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B313" s="13"/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B314" s="13"/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B315" s="13"/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B316" s="13"/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B317" s="13"/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B318" s="13"/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B319" s="13"/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B320" s="13"/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B321" s="13"/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B322" s="13"/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B323" s="13"/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B324" s="13"/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B325" s="13"/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B326" s="13"/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B327" s="13"/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B328" s="13"/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B329" s="13"/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B330" s="13"/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B331" s="13"/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B332" s="13"/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B333" s="13"/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B334" s="13"/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B335" s="13"/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B336" s="13"/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B337" s="13"/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B338" s="13"/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B339" s="13"/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B340" s="13"/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B341" s="13"/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B342" s="13"/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B343" s="13"/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B344" s="13"/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B345" s="13"/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B346" s="13"/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B347" s="13"/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B348" s="13"/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B349" s="13"/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B350" s="13"/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B351" s="13"/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B352" s="13"/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B353" s="13"/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B354" s="13"/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B355" s="13"/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B356" s="13"/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B357" s="13"/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B358" s="13"/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B359" s="13"/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B360" s="13"/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B361" s="13"/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B362" s="13"/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B363" s="13"/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B364" s="13"/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B365" s="13"/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B366" s="13"/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B367" s="13"/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B368" s="13"/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B369" s="13"/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B370" s="13"/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B371" s="13"/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B372" s="13"/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B373" s="13"/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B374" s="13"/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B375" s="13"/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B376" s="13"/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B377" s="13"/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B378" s="13"/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B379" s="13"/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B380" s="13"/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B381" s="13"/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B382" s="13"/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B383" s="13"/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B384" s="13"/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B385" s="13"/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B386" s="13"/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B387" s="13"/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B388" s="13"/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B389" s="13"/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B390" s="13"/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B391" s="13"/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B392" s="13"/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B393" s="13"/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B394" s="13"/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B395" s="13"/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B396" s="13"/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B397" s="13"/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B398" s="13"/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B399" s="13"/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B400" s="13"/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B401" s="13"/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B402" s="13"/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B403" s="13"/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B404" s="13"/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B405" s="13"/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B406" s="13"/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B407" s="13"/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B408" s="13"/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B409" s="13"/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B410" s="13"/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B411" s="13"/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B412" s="13"/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B413" s="13"/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B414" s="13"/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B415" s="13"/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B416" s="13"/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B417" s="13"/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B418" s="13"/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B419" s="13"/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B420" s="13"/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B421" s="13"/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B422" s="13"/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B423" s="13"/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B424" s="13"/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B425" s="13"/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B426" s="13"/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B427" s="13"/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B428" s="13"/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B429" s="13"/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B430" s="13"/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B431" s="13"/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B432" s="13"/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B433" s="13"/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B434" s="13"/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B435" s="13"/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B436" s="13"/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B437" s="13"/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B438" s="13"/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B439" s="13"/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B440" s="13"/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B441" s="13"/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B442" s="13"/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B443" s="13"/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B444" s="13"/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B445" s="13"/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B446" s="13"/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B447" s="13"/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B448" s="13"/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B449" s="13"/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B450" s="13"/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B451" s="13"/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B452" s="13"/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B453" s="13"/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B454" s="13"/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B455" s="13"/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B456" s="13"/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B457" s="13"/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B458" s="13"/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B459" s="13"/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B460" s="13"/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B461" s="13"/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B462" s="13"/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B463" s="13"/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B464" s="13"/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B465" s="13"/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B466" s="13"/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B467" s="13"/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B468" s="13"/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B469" s="13"/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B470" s="13"/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B471" s="13"/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B472" s="13"/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B473" s="13"/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B474" s="13"/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B475" s="13"/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B476" s="13"/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B477" s="13"/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B478" s="13"/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B479" s="13"/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B480" s="13"/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B481" s="13"/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B482" s="13"/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B483" s="13"/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B484" s="13"/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B485" s="13"/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B486" s="13"/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B487" s="13"/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B488" s="13"/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B489" s="13"/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B490" s="13"/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B491" s="13"/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B492" s="13"/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B493" s="13"/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B494" s="13"/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B495" s="13"/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B496" s="13"/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B497" s="13"/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B498" s="13"/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B499" s="13"/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B500" s="13"/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B501" s="13"/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B502" s="13"/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B503" s="13"/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B504" s="13"/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B505" s="13"/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B506" s="13"/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B507" s="13"/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B508" s="13"/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B509" s="13"/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B510" s="13"/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B511" s="13"/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B512" s="13"/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B513" s="13"/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B514" s="13"/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B515" s="13"/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B516" s="13"/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B517" s="13"/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B518" s="13"/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B519" s="13"/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B520" s="13"/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B521" s="13"/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B522" s="13"/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B523" s="13"/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B524" s="13"/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B525" s="13"/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B526" s="13"/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B527" s="13"/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B528" s="13"/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B529" s="13"/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B530" s="13"/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B531" s="13"/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B532" s="13"/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B533" s="13"/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B534" s="13"/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B535" s="13"/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B536" s="13"/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B537" s="13"/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B538" s="13"/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B539" s="13"/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B540" s="13"/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B541" s="13"/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B542" s="13"/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B543" s="13"/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B544" s="13"/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B545" s="13"/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B546" s="13"/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B547" s="13"/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B548" s="13"/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B549" s="13"/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B550" s="13"/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B551" s="13"/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B552" s="13"/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B553" s="13"/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B554" s="13"/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B555" s="13"/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B556" s="13"/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B557" s="13"/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B558" s="13"/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B559" s="13"/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B560" s="13"/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B561" s="13"/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B562" s="13"/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B563" s="13"/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B564" s="13"/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B565" s="13"/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B566" s="13"/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B567" s="13"/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B568" s="13"/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B569" s="13"/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B570" s="13"/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B571" s="13"/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B572" s="13"/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B573" s="13"/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B574" s="13"/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B575" s="13"/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B576" s="13"/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B577" s="13"/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B578" s="13"/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B579" s="13"/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B580" s="13"/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B581" s="13"/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B582" s="13"/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B583" s="13"/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B584" s="13"/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B585" s="13"/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B586" s="13"/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B587" s="13"/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B588" s="13"/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B589" s="13"/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B590" s="13"/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B591" s="13"/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B592" s="13"/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B593" s="13"/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B594" s="13"/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B595" s="13"/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B596" s="13"/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B597" s="13"/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B598" s="13"/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B599" s="13"/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B600" s="13"/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B601" s="13"/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B602" s="13"/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B603" s="13"/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B604" s="13"/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B605" s="13"/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B606" s="13"/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B607" s="13"/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B608" s="13"/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B609" s="13"/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B610" s="13"/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B611" s="13"/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B612" s="13"/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B613" s="13"/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B614" s="13"/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B615" s="13"/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B616" s="13"/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B617" s="13"/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B618" s="13"/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B619" s="13"/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B620" s="13"/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B621" s="13"/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B622" s="13"/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B623" s="13"/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B624" s="13"/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B625" s="13"/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B626" s="13"/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B627" s="13"/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B628" s="13"/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B629" s="13"/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B630" s="13"/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B631" s="13"/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B632" s="13"/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B633" s="13"/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B634" s="13"/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B635" s="13"/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B636" s="13"/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B637" s="13"/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B638" s="13"/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B639" s="13"/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B640" s="13"/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B641" s="13"/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B642" s="13"/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B643" s="13"/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B644" s="13"/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B645" s="13"/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B646" s="13"/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B647" s="13"/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B648" s="13"/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B649" s="13"/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B650" s="13"/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B651" s="13"/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B652" s="13"/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B653" s="13"/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B654" s="13"/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B655" s="13"/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B656" s="13"/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B657" s="13"/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B658" s="13"/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B659" s="13"/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B660" s="13"/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B661" s="13"/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B662" s="13"/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B663" s="13"/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B664" s="13"/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B665" s="13"/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B666" s="13"/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B667" s="13"/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B668" s="13"/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B669" s="13"/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B670" s="13"/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B671" s="13"/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B672" s="13"/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B673" s="13"/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B674" s="13"/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B675" s="13"/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B676" s="13"/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B677" s="13"/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B678" s="13"/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B679" s="13"/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B680" s="13"/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B681" s="13"/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B682" s="13"/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B683" s="13"/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B684" s="13"/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B685" s="13"/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B686" s="13"/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B687" s="13"/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B688" s="13"/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B689" s="13"/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B690" s="13"/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B691" s="13"/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B692" s="13"/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B693" s="13"/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B694" s="13"/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B695" s="13"/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B696" s="13"/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B697" s="13"/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B698" s="13"/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B699" s="13"/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B700" s="13"/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B701" s="13"/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B702" s="13"/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B703" s="13"/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B704" s="13"/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B705" s="13"/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B706" s="13"/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B707" s="13"/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B708" s="13"/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B709" s="13"/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B710" s="13"/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B711" s="13"/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B712" s="13"/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B713" s="13"/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B714" s="13"/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B715" s="13"/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B716" s="13"/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B717" s="13"/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B718" s="13"/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B719" s="13"/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B720" s="13"/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B721" s="13"/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B722" s="13"/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B723" s="13"/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B724" s="13"/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B725" s="13"/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B726" s="13"/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B727" s="13"/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B728" s="13"/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B729" s="13"/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B730" s="13"/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B731" s="13"/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B732" s="13"/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B733" s="13"/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B734" s="13"/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B735" s="13"/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B736" s="13"/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B737" s="13"/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B738" s="13"/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B739" s="13"/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B740" s="13"/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B741" s="13"/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B742" s="13"/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B743" s="13"/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B744" s="13"/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B745" s="13"/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B746" s="13"/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B747" s="13"/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B748" s="13"/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B749" s="13"/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B750" s="13"/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B751" s="13"/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B752" s="13"/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B753" s="13"/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B754" s="13"/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B755" s="13"/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B756" s="13"/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B757" s="13"/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B758" s="13"/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B759" s="13"/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B760" s="13"/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B761" s="13"/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B762" s="13"/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B763" s="13"/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B764" s="13"/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B765" s="13"/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B766" s="13"/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B767" s="13"/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B768" s="13"/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B769" s="13"/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B770" s="13"/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B771" s="13"/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B772" s="13"/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B773" s="13"/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B774" s="13"/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B775" s="13"/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B776" s="13"/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B777" s="13"/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B778" s="13"/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B779" s="13"/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B780" s="13"/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B781" s="13"/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B782" s="13"/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B783" s="13"/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B784" s="13"/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B785" s="13"/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B786" s="13"/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B787" s="13"/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B788" s="13"/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B789" s="13"/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B790" s="13"/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B791" s="13"/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B792" s="13"/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B793" s="13"/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B794" s="13"/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B795" s="13"/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B796" s="13"/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B797" s="13"/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B798" s="13"/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B799" s="13"/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B800" s="13"/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B801" s="13"/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B802" s="13"/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B803" s="13"/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B804" s="13"/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B805" s="13"/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B806" s="13"/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B807" s="13"/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B808" s="13"/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B809" s="13"/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B810" s="13"/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B811" s="13"/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B812" s="13"/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B813" s="13"/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B814" s="13"/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B815" s="13"/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B816" s="13"/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B817" s="13"/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B818" s="13"/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B819" s="13"/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B820" s="13"/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B821" s="13"/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B822" s="13"/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B823" s="13"/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B824" s="13"/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B825" s="13"/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B826" s="13"/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B827" s="13"/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B828" s="13"/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B829" s="13"/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B830" s="13"/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B831" s="13"/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B832" s="13"/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B833" s="13"/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B834" s="13"/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B835" s="13"/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B836" s="13"/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B837" s="13"/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B838" s="13"/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B839" s="13"/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B840" s="13"/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B841" s="13"/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B842" s="13"/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B843" s="13"/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B844" s="13"/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B845" s="13"/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B846" s="13"/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B847" s="13"/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B848" s="13"/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B849" s="13"/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B850" s="13"/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B851" s="13"/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B852" s="13"/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B853" s="13"/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B854" s="13"/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B855" s="13"/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B856" s="13"/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B857" s="13"/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B858" s="13"/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B859" s="13"/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B860" s="13"/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B861" s="13"/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B862" s="13"/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B863" s="13"/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B864" s="13"/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B865" s="13"/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B866" s="13"/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B867" s="13"/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B868" s="13"/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B869" s="13"/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B870" s="13"/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B871" s="13"/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B872" s="13"/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B873" s="13"/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B874" s="13"/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B875" s="13"/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B876" s="13"/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B877" s="13"/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B878" s="13"/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B879" s="13"/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B880" s="13"/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B881" s="13"/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B882" s="13"/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B883" s="13"/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B884" s="13"/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B885" s="13"/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B886" s="13"/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B887" s="13"/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B888" s="13"/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B889" s="13"/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B890" s="13"/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B891" s="13"/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B892" s="13"/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B893" s="13"/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B894" s="13"/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B895" s="13"/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B896" s="13"/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B897" s="13"/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B898" s="13"/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B899" s="13"/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B900" s="13"/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B901" s="13"/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B902" s="13"/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B903" s="13"/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B904" s="13"/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B905" s="13"/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B906" s="13"/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B907" s="13"/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B908" s="13"/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B909" s="13"/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B910" s="13"/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B911" s="13"/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B912" s="13"/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B913" s="13"/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B914" s="13"/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B915" s="13"/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B916" s="13"/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B917" s="13"/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B918" s="13"/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B919" s="13"/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B920" s="13"/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B921" s="13"/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B922" s="13"/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B923" s="13"/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B924" s="13"/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B925" s="13"/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B926" s="13"/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B927" s="13"/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B928" s="13"/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B929" s="13"/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B930" s="13"/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B931" s="13"/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B932" s="13"/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B933" s="13"/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B934" s="13"/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B935" s="13"/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B936" s="13"/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B937" s="13"/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B938" s="13"/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B939" s="13"/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B940" s="13"/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B941" s="13"/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B942" s="13"/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B943" s="13"/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B944" s="13"/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B945" s="13"/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B946" s="13"/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B947" s="13"/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B948" s="13"/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B949" s="13"/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B950" s="13"/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B951" s="13"/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B952" s="13"/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B953" s="13"/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B954" s="13"/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B955" s="13"/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B956" s="13"/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B957" s="13"/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B958" s="13"/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B959" s="13"/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B960" s="13"/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B961" s="13"/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B962" s="13"/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B963" s="13"/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B964" s="13"/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B965" s="13"/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B966" s="13"/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B967" s="13"/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B968" s="13"/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B969" s="13"/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B970" s="13"/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B971" s="13"/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B972" s="13"/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B973" s="13"/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B974" s="13"/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B975" s="13"/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B976" s="13"/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B977" s="13"/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B978" s="13"/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B979" s="13"/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B980" s="13"/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B981" s="13"/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B982" s="13"/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B983" s="13"/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B984" s="13"/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B985" s="13"/>
    </row>
  </sheetData>
  <mergeCells count="44">
    <mergeCell ref="A2:A8"/>
    <mergeCell ref="F2:F8"/>
    <mergeCell ref="G2:G8"/>
    <mergeCell ref="H2:H8"/>
    <mergeCell ref="A9:A14"/>
    <mergeCell ref="F9:F14"/>
    <mergeCell ref="G9:G14"/>
    <mergeCell ref="H9:H14"/>
    <mergeCell ref="A15:A21"/>
    <mergeCell ref="F15:F21"/>
    <mergeCell ref="G15:G21"/>
    <mergeCell ref="H15:H21"/>
    <mergeCell ref="A22:A27"/>
    <mergeCell ref="F22:F27"/>
    <mergeCell ref="G22:G27"/>
    <mergeCell ref="H22:H27"/>
    <mergeCell ref="A28:A33"/>
    <mergeCell ref="F28:F33"/>
    <mergeCell ref="G28:G33"/>
    <mergeCell ref="H28:H33"/>
    <mergeCell ref="A34:A39"/>
    <mergeCell ref="F34:F39"/>
    <mergeCell ref="G34:G39"/>
    <mergeCell ref="H34:H39"/>
    <mergeCell ref="A40:A45"/>
    <mergeCell ref="F40:F45"/>
    <mergeCell ref="G40:G45"/>
    <mergeCell ref="H40:H45"/>
    <mergeCell ref="A46:A51"/>
    <mergeCell ref="F46:F51"/>
    <mergeCell ref="G46:G51"/>
    <mergeCell ref="H46:H51"/>
    <mergeCell ref="A52:A57"/>
    <mergeCell ref="F52:F57"/>
    <mergeCell ref="G52:G57"/>
    <mergeCell ref="H52:H57"/>
    <mergeCell ref="A58:A63"/>
    <mergeCell ref="F58:F63"/>
    <mergeCell ref="G58:G63"/>
    <mergeCell ref="H58:H63"/>
    <mergeCell ref="A64:A69"/>
    <mergeCell ref="F64:F69"/>
    <mergeCell ref="G64:G69"/>
    <mergeCell ref="H64:H6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RowHeight="15.75" zeroHeight="false" outlineLevelRow="0" outlineLevelCol="0"/>
  <cols>
    <col collapsed="false" customWidth="true" hidden="false" outlineLevel="0" max="1" min="1" style="38" width="37.63"/>
    <col collapsed="false" customWidth="true" hidden="false" outlineLevel="0" max="2" min="2" style="39" width="37.37"/>
    <col collapsed="false" customWidth="true" hidden="false" outlineLevel="0" max="1019" min="3" style="0" width="12.63"/>
    <col collapsed="false" customWidth="false" hidden="false" outlineLevel="0" max="1025" min="1020" style="0" width="11.52"/>
  </cols>
  <sheetData>
    <row r="1" customFormat="false" ht="19.5" hidden="false" customHeight="true" outlineLevel="0" collapsed="false">
      <c r="A1" s="40" t="s">
        <v>0</v>
      </c>
      <c r="B1" s="41" t="s">
        <v>1</v>
      </c>
      <c r="C1" s="1" t="s">
        <v>6</v>
      </c>
    </row>
    <row r="2" customFormat="false" ht="19.5" hidden="false" customHeight="true" outlineLevel="0" collapsed="false">
      <c r="A2" s="42" t="s">
        <v>607</v>
      </c>
      <c r="B2" s="42"/>
      <c r="C2" s="42"/>
    </row>
    <row r="3" customFormat="false" ht="13.8" hidden="false" customHeight="false" outlineLevel="0" collapsed="false">
      <c r="A3" s="43" t="s">
        <v>608</v>
      </c>
      <c r="B3" s="44" t="s">
        <v>609</v>
      </c>
      <c r="C3" s="8" t="n">
        <v>650</v>
      </c>
    </row>
    <row r="4" customFormat="false" ht="13.8" hidden="false" customHeight="false" outlineLevel="0" collapsed="false">
      <c r="A4" s="43"/>
      <c r="B4" s="44" t="s">
        <v>610</v>
      </c>
      <c r="C4" s="8"/>
    </row>
    <row r="5" customFormat="false" ht="13.8" hidden="false" customHeight="false" outlineLevel="0" collapsed="false">
      <c r="A5" s="43"/>
      <c r="B5" s="44" t="s">
        <v>611</v>
      </c>
      <c r="C5" s="8"/>
    </row>
    <row r="6" customFormat="false" ht="13.8" hidden="false" customHeight="false" outlineLevel="0" collapsed="false">
      <c r="A6" s="43"/>
      <c r="B6" s="44" t="s">
        <v>612</v>
      </c>
      <c r="C6" s="8"/>
    </row>
    <row r="7" customFormat="false" ht="13.8" hidden="false" customHeight="false" outlineLevel="0" collapsed="false">
      <c r="A7" s="43"/>
      <c r="B7" s="44" t="s">
        <v>613</v>
      </c>
      <c r="C7" s="8"/>
    </row>
    <row r="8" customFormat="false" ht="13.8" hidden="false" customHeight="false" outlineLevel="0" collapsed="false">
      <c r="A8" s="43"/>
      <c r="B8" s="44"/>
      <c r="C8" s="8"/>
    </row>
    <row r="9" customFormat="false" ht="13.8" hidden="false" customHeight="false" outlineLevel="0" collapsed="false">
      <c r="A9" s="43"/>
      <c r="B9" s="44"/>
      <c r="C9" s="8"/>
    </row>
    <row r="10" customFormat="false" ht="13.8" hidden="false" customHeight="false" outlineLevel="0" collapsed="false">
      <c r="A10" s="43" t="s">
        <v>614</v>
      </c>
      <c r="B10" s="44" t="s">
        <v>615</v>
      </c>
      <c r="C10" s="8" t="n">
        <v>750</v>
      </c>
    </row>
    <row r="11" customFormat="false" ht="13.8" hidden="false" customHeight="false" outlineLevel="0" collapsed="false">
      <c r="A11" s="43"/>
      <c r="B11" s="44" t="s">
        <v>616</v>
      </c>
      <c r="C11" s="8"/>
    </row>
    <row r="12" customFormat="false" ht="13.8" hidden="false" customHeight="false" outlineLevel="0" collapsed="false">
      <c r="A12" s="43"/>
      <c r="B12" s="45" t="s">
        <v>617</v>
      </c>
      <c r="C12" s="8"/>
    </row>
    <row r="13" customFormat="false" ht="13.8" hidden="false" customHeight="false" outlineLevel="0" collapsed="false">
      <c r="A13" s="43"/>
      <c r="B13" s="44" t="s">
        <v>611</v>
      </c>
      <c r="C13" s="8"/>
    </row>
    <row r="14" customFormat="false" ht="13.8" hidden="false" customHeight="false" outlineLevel="0" collapsed="false">
      <c r="A14" s="43"/>
      <c r="B14" s="44" t="s">
        <v>618</v>
      </c>
      <c r="C14" s="8"/>
    </row>
    <row r="15" customFormat="false" ht="13.8" hidden="false" customHeight="false" outlineLevel="0" collapsed="false">
      <c r="A15" s="43"/>
      <c r="B15" s="44"/>
      <c r="C15" s="8"/>
    </row>
    <row r="16" customFormat="false" ht="13.8" hidden="false" customHeight="false" outlineLevel="0" collapsed="false">
      <c r="A16" s="43" t="s">
        <v>619</v>
      </c>
      <c r="B16" s="44" t="s">
        <v>609</v>
      </c>
      <c r="C16" s="8" t="n">
        <v>850</v>
      </c>
    </row>
    <row r="17" customFormat="false" ht="13.8" hidden="false" customHeight="false" outlineLevel="0" collapsed="false">
      <c r="A17" s="43"/>
      <c r="B17" s="44" t="s">
        <v>620</v>
      </c>
      <c r="C17" s="8"/>
    </row>
    <row r="18" customFormat="false" ht="13.8" hidden="false" customHeight="false" outlineLevel="0" collapsed="false">
      <c r="A18" s="43"/>
      <c r="B18" s="44" t="s">
        <v>621</v>
      </c>
      <c r="C18" s="8"/>
    </row>
    <row r="19" customFormat="false" ht="13.8" hidden="false" customHeight="false" outlineLevel="0" collapsed="false">
      <c r="A19" s="43"/>
      <c r="B19" s="44" t="s">
        <v>622</v>
      </c>
      <c r="C19" s="8"/>
    </row>
    <row r="20" customFormat="false" ht="13.8" hidden="false" customHeight="false" outlineLevel="0" collapsed="false">
      <c r="A20" s="43"/>
      <c r="B20" s="44" t="s">
        <v>623</v>
      </c>
      <c r="C20" s="8"/>
    </row>
    <row r="21" customFormat="false" ht="13.8" hidden="false" customHeight="false" outlineLevel="0" collapsed="false">
      <c r="A21" s="43"/>
      <c r="B21" s="44" t="s">
        <v>611</v>
      </c>
      <c r="C21" s="8"/>
    </row>
    <row r="22" customFormat="false" ht="13.8" hidden="false" customHeight="false" outlineLevel="0" collapsed="false">
      <c r="A22" s="43"/>
      <c r="B22" s="44" t="s">
        <v>624</v>
      </c>
      <c r="C22" s="8"/>
    </row>
    <row r="23" customFormat="false" ht="27.7" hidden="false" customHeight="true" outlineLevel="0" collapsed="false">
      <c r="A23" s="46" t="s">
        <v>625</v>
      </c>
      <c r="B23" s="46"/>
      <c r="C23" s="46"/>
    </row>
    <row r="24" customFormat="false" ht="13.8" hidden="false" customHeight="false" outlineLevel="0" collapsed="false">
      <c r="A24" s="43" t="s">
        <v>626</v>
      </c>
      <c r="B24" s="44" t="s">
        <v>609</v>
      </c>
      <c r="C24" s="8" t="n">
        <v>1100</v>
      </c>
    </row>
    <row r="25" customFormat="false" ht="13.8" hidden="false" customHeight="false" outlineLevel="0" collapsed="false">
      <c r="A25" s="43"/>
      <c r="B25" s="44" t="s">
        <v>627</v>
      </c>
      <c r="C25" s="8"/>
    </row>
    <row r="26" customFormat="false" ht="13.8" hidden="false" customHeight="false" outlineLevel="0" collapsed="false">
      <c r="A26" s="43"/>
      <c r="B26" s="44" t="s">
        <v>611</v>
      </c>
      <c r="C26" s="8"/>
    </row>
    <row r="27" customFormat="false" ht="13.8" hidden="false" customHeight="false" outlineLevel="0" collapsed="false">
      <c r="A27" s="43"/>
      <c r="B27" s="44" t="s">
        <v>628</v>
      </c>
      <c r="C27" s="8"/>
    </row>
    <row r="28" customFormat="false" ht="13.8" hidden="false" customHeight="false" outlineLevel="0" collapsed="false">
      <c r="A28" s="43"/>
      <c r="B28" s="44"/>
      <c r="C28" s="8"/>
    </row>
    <row r="29" customFormat="false" ht="13.8" hidden="false" customHeight="false" outlineLevel="0" collapsed="false">
      <c r="A29" s="43"/>
      <c r="B29" s="44"/>
      <c r="C29" s="8"/>
    </row>
    <row r="30" customFormat="false" ht="13.8" hidden="false" customHeight="false" outlineLevel="0" collapsed="false">
      <c r="A30" s="43" t="s">
        <v>629</v>
      </c>
      <c r="B30" s="44" t="s">
        <v>616</v>
      </c>
      <c r="C30" s="8" t="n">
        <v>1100</v>
      </c>
    </row>
    <row r="31" customFormat="false" ht="13.8" hidden="false" customHeight="false" outlineLevel="0" collapsed="false">
      <c r="A31" s="43"/>
      <c r="B31" s="44" t="s">
        <v>630</v>
      </c>
      <c r="C31" s="8"/>
    </row>
    <row r="32" customFormat="false" ht="13.8" hidden="false" customHeight="false" outlineLevel="0" collapsed="false">
      <c r="A32" s="43"/>
      <c r="B32" s="44" t="s">
        <v>631</v>
      </c>
      <c r="C32" s="8"/>
    </row>
    <row r="33" customFormat="false" ht="13.8" hidden="false" customHeight="false" outlineLevel="0" collapsed="false">
      <c r="A33" s="43"/>
      <c r="B33" s="44" t="s">
        <v>611</v>
      </c>
      <c r="C33" s="8"/>
    </row>
    <row r="34" customFormat="false" ht="13.8" hidden="false" customHeight="false" outlineLevel="0" collapsed="false">
      <c r="A34" s="43"/>
      <c r="B34" s="44"/>
      <c r="C34" s="8"/>
    </row>
    <row r="35" customFormat="false" ht="13.8" hidden="false" customHeight="false" outlineLevel="0" collapsed="false">
      <c r="A35" s="43"/>
      <c r="B35" s="44"/>
      <c r="C35" s="8"/>
    </row>
    <row r="36" customFormat="false" ht="13.8" hidden="false" customHeight="false" outlineLevel="0" collapsed="false">
      <c r="A36" s="47"/>
      <c r="B36" s="48"/>
      <c r="C36" s="23"/>
    </row>
    <row r="37" customFormat="false" ht="13.8" hidden="false" customHeight="false" outlineLevel="0" collapsed="false">
      <c r="A37" s="47"/>
      <c r="B37" s="48"/>
      <c r="C37" s="23"/>
    </row>
    <row r="38" customFormat="false" ht="13.8" hidden="false" customHeight="false" outlineLevel="0" collapsed="false">
      <c r="A38" s="47"/>
      <c r="B38" s="48"/>
      <c r="C38" s="23"/>
    </row>
    <row r="39" customFormat="false" ht="13.8" hidden="false" customHeight="false" outlineLevel="0" collapsed="false">
      <c r="A39" s="47"/>
      <c r="B39" s="48"/>
      <c r="C39" s="23"/>
    </row>
    <row r="40" customFormat="false" ht="13.8" hidden="false" customHeight="false" outlineLevel="0" collapsed="false">
      <c r="A40" s="47"/>
      <c r="B40" s="48"/>
      <c r="C40" s="23"/>
    </row>
    <row r="41" customFormat="false" ht="13.8" hidden="false" customHeight="false" outlineLevel="0" collapsed="false">
      <c r="A41" s="47"/>
      <c r="B41" s="48"/>
      <c r="C41" s="23"/>
    </row>
    <row r="42" customFormat="false" ht="13.8" hidden="false" customHeight="false" outlineLevel="0" collapsed="false">
      <c r="A42" s="47"/>
      <c r="B42" s="48"/>
      <c r="C42" s="23" t="n">
        <v>1000</v>
      </c>
    </row>
    <row r="43" customFormat="false" ht="13.8" hidden="false" customHeight="false" outlineLevel="0" collapsed="false">
      <c r="A43" s="47"/>
      <c r="B43" s="48"/>
      <c r="C43" s="23"/>
    </row>
    <row r="44" customFormat="false" ht="13.8" hidden="false" customHeight="false" outlineLevel="0" collapsed="false">
      <c r="A44" s="47"/>
      <c r="B44" s="48"/>
      <c r="C44" s="23"/>
    </row>
    <row r="45" customFormat="false" ht="13.8" hidden="false" customHeight="false" outlineLevel="0" collapsed="false">
      <c r="A45" s="47"/>
      <c r="B45" s="48"/>
      <c r="C45" s="23"/>
    </row>
    <row r="46" customFormat="false" ht="13.8" hidden="false" customHeight="false" outlineLevel="0" collapsed="false">
      <c r="A46" s="47"/>
      <c r="B46" s="48"/>
      <c r="C46" s="23"/>
    </row>
    <row r="47" customFormat="false" ht="13.8" hidden="false" customHeight="false" outlineLevel="0" collapsed="false">
      <c r="A47" s="47"/>
      <c r="B47" s="48"/>
      <c r="C47" s="23"/>
    </row>
    <row r="48" customFormat="false" ht="13.8" hidden="false" customHeight="false" outlineLevel="0" collapsed="false">
      <c r="A48" s="43"/>
      <c r="B48" s="44"/>
      <c r="C48" s="23" t="n">
        <v>1000</v>
      </c>
    </row>
    <row r="49" customFormat="false" ht="13.8" hidden="false" customHeight="false" outlineLevel="0" collapsed="false">
      <c r="A49" s="43"/>
      <c r="B49" s="44"/>
      <c r="C49" s="23"/>
    </row>
    <row r="50" customFormat="false" ht="13.8" hidden="false" customHeight="false" outlineLevel="0" collapsed="false">
      <c r="A50" s="43"/>
      <c r="B50" s="44"/>
      <c r="C50" s="23"/>
    </row>
    <row r="51" customFormat="false" ht="13.8" hidden="false" customHeight="false" outlineLevel="0" collapsed="false">
      <c r="A51" s="43"/>
      <c r="B51" s="44"/>
      <c r="C51" s="23"/>
    </row>
    <row r="52" customFormat="false" ht="13.8" hidden="false" customHeight="false" outlineLevel="0" collapsed="false">
      <c r="A52" s="43"/>
      <c r="B52" s="44"/>
      <c r="C52" s="23"/>
    </row>
    <row r="53" customFormat="false" ht="13.8" hidden="false" customHeight="false" outlineLevel="0" collapsed="false">
      <c r="A53" s="43"/>
      <c r="B53" s="44"/>
      <c r="C53" s="23"/>
    </row>
    <row r="54" customFormat="false" ht="13.8" hidden="false" customHeight="false" outlineLevel="0" collapsed="false">
      <c r="A54" s="49"/>
      <c r="B54" s="50"/>
      <c r="C54" s="12"/>
    </row>
    <row r="55" customFormat="false" ht="13.8" hidden="false" customHeight="false" outlineLevel="0" collapsed="false">
      <c r="A55" s="49"/>
      <c r="B55" s="50"/>
      <c r="C55" s="12"/>
    </row>
    <row r="56" customFormat="false" ht="13.8" hidden="false" customHeight="false" outlineLevel="0" collapsed="false">
      <c r="A56" s="49"/>
      <c r="B56" s="50"/>
      <c r="C56" s="12"/>
    </row>
    <row r="57" customFormat="false" ht="13.8" hidden="false" customHeight="false" outlineLevel="0" collapsed="false">
      <c r="A57" s="49"/>
      <c r="B57" s="50"/>
      <c r="C57" s="12"/>
    </row>
    <row r="58" customFormat="false" ht="13.8" hidden="false" customHeight="false" outlineLevel="0" collapsed="false">
      <c r="A58" s="49"/>
      <c r="B58" s="50"/>
      <c r="C58" s="12"/>
    </row>
    <row r="59" customFormat="false" ht="13.8" hidden="false" customHeight="false" outlineLevel="0" collapsed="false">
      <c r="A59" s="49"/>
      <c r="B59" s="50"/>
      <c r="C59" s="12"/>
    </row>
    <row r="60" customFormat="false" ht="13.8" hidden="false" customHeight="false" outlineLevel="0" collapsed="false">
      <c r="A60" s="49"/>
      <c r="B60" s="50"/>
      <c r="C60" s="12"/>
    </row>
    <row r="61" customFormat="false" ht="13.8" hidden="false" customHeight="false" outlineLevel="0" collapsed="false">
      <c r="A61" s="49"/>
      <c r="B61" s="50"/>
      <c r="C61" s="12"/>
    </row>
    <row r="62" customFormat="false" ht="13.8" hidden="false" customHeight="false" outlineLevel="0" collapsed="false">
      <c r="A62" s="49"/>
      <c r="B62" s="50"/>
      <c r="C62" s="12"/>
    </row>
    <row r="63" customFormat="false" ht="13.8" hidden="false" customHeight="false" outlineLevel="0" collapsed="false">
      <c r="A63" s="49"/>
      <c r="B63" s="50"/>
      <c r="C63" s="12"/>
    </row>
    <row r="64" customFormat="false" ht="13.8" hidden="false" customHeight="false" outlineLevel="0" collapsed="false">
      <c r="A64" s="49"/>
      <c r="B64" s="50"/>
      <c r="C64" s="12"/>
    </row>
    <row r="65" customFormat="false" ht="13.8" hidden="false" customHeight="false" outlineLevel="0" collapsed="false">
      <c r="A65" s="49"/>
      <c r="B65" s="50"/>
      <c r="C65" s="12"/>
    </row>
    <row r="66" customFormat="false" ht="13.8" hidden="false" customHeight="false" outlineLevel="0" collapsed="false">
      <c r="A66" s="49"/>
      <c r="B66" s="50"/>
      <c r="C66" s="12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customFormat="false" ht="13.8" hidden="false" customHeight="false" outlineLevel="0" collapsed="false">
      <c r="A67" s="49"/>
      <c r="B67" s="50"/>
      <c r="C67" s="12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customFormat="false" ht="13.8" hidden="false" customHeight="false" outlineLevel="0" collapsed="false">
      <c r="A68" s="49"/>
      <c r="B68" s="50"/>
      <c r="C68" s="12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customFormat="false" ht="13.8" hidden="false" customHeight="false" outlineLevel="0" collapsed="false">
      <c r="A69" s="49"/>
      <c r="B69" s="50"/>
      <c r="C69" s="12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customFormat="false" ht="13.8" hidden="false" customHeight="false" outlineLevel="0" collapsed="false">
      <c r="A70" s="49"/>
      <c r="B70" s="50"/>
      <c r="C70" s="12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customFormat="false" ht="13.8" hidden="false" customHeight="false" outlineLevel="0" collapsed="false">
      <c r="A71" s="49"/>
      <c r="B71" s="50"/>
      <c r="C71" s="1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customFormat="false" ht="13.8" hidden="false" customHeight="false" outlineLevel="0" collapsed="false">
      <c r="A72" s="49"/>
      <c r="B72" s="50"/>
      <c r="C72" s="12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customFormat="false" ht="13.8" hidden="false" customHeight="false" outlineLevel="0" collapsed="false">
      <c r="A73" s="49"/>
      <c r="B73" s="50"/>
      <c r="C73" s="12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customFormat="false" ht="13.8" hidden="false" customHeight="false" outlineLevel="0" collapsed="false">
      <c r="A74" s="49"/>
      <c r="B74" s="50"/>
      <c r="C74" s="12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customFormat="false" ht="13.8" hidden="false" customHeight="false" outlineLevel="0" collapsed="false">
      <c r="A75" s="49"/>
      <c r="B75" s="50"/>
      <c r="C75" s="12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customFormat="false" ht="13.8" hidden="false" customHeight="false" outlineLevel="0" collapsed="false">
      <c r="B76" s="51"/>
      <c r="C76" s="14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customFormat="false" ht="13.8" hidden="false" customHeight="false" outlineLevel="0" collapsed="false">
      <c r="B77" s="51"/>
      <c r="C77" s="14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customFormat="false" ht="13.8" hidden="false" customHeight="false" outlineLevel="0" collapsed="false">
      <c r="B78" s="51"/>
      <c r="C78" s="14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customFormat="false" ht="13.8" hidden="false" customHeight="false" outlineLevel="0" collapsed="false">
      <c r="B79" s="51"/>
      <c r="C79" s="1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customFormat="false" ht="13.8" hidden="false" customHeight="false" outlineLevel="0" collapsed="false">
      <c r="B80" s="51"/>
      <c r="C80" s="14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customFormat="false" ht="13.8" hidden="false" customHeight="false" outlineLevel="0" collapsed="false">
      <c r="B81" s="51"/>
      <c r="C81" s="14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customFormat="false" ht="13.8" hidden="false" customHeight="false" outlineLevel="0" collapsed="false">
      <c r="B82" s="51"/>
      <c r="C82" s="14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customFormat="false" ht="13.8" hidden="false" customHeight="false" outlineLevel="0" collapsed="false">
      <c r="B83" s="51"/>
      <c r="C83" s="14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customFormat="false" ht="13.8" hidden="false" customHeight="false" outlineLevel="0" collapsed="false">
      <c r="B84" s="51"/>
      <c r="C84" s="1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customFormat="false" ht="13.8" hidden="false" customHeight="false" outlineLevel="0" collapsed="false">
      <c r="B85" s="51"/>
      <c r="C85" s="1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customFormat="false" ht="13.8" hidden="false" customHeight="false" outlineLevel="0" collapsed="false">
      <c r="B86" s="51"/>
      <c r="C86" s="14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customFormat="false" ht="13.8" hidden="false" customHeight="false" outlineLevel="0" collapsed="false">
      <c r="B87" s="51"/>
      <c r="C87" s="14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customFormat="false" ht="13.8" hidden="false" customHeight="false" outlineLevel="0" collapsed="false">
      <c r="B88" s="51"/>
      <c r="C88" s="14"/>
    </row>
    <row r="89" customFormat="false" ht="13.8" hidden="false" customHeight="false" outlineLevel="0" collapsed="false">
      <c r="B89" s="51"/>
      <c r="C89" s="14"/>
    </row>
    <row r="90" customFormat="false" ht="13.8" hidden="false" customHeight="false" outlineLevel="0" collapsed="false">
      <c r="B90" s="51"/>
      <c r="C90" s="14"/>
    </row>
    <row r="91" customFormat="false" ht="13.8" hidden="false" customHeight="false" outlineLevel="0" collapsed="false">
      <c r="B91" s="51"/>
      <c r="C91" s="14"/>
    </row>
    <row r="92" customFormat="false" ht="13.8" hidden="false" customHeight="false" outlineLevel="0" collapsed="false">
      <c r="B92" s="51"/>
      <c r="C92" s="14"/>
    </row>
    <row r="93" customFormat="false" ht="13.8" hidden="false" customHeight="false" outlineLevel="0" collapsed="false">
      <c r="B93" s="51"/>
      <c r="C93" s="14"/>
    </row>
    <row r="94" customFormat="false" ht="13.8" hidden="false" customHeight="false" outlineLevel="0" collapsed="false">
      <c r="B94" s="51"/>
      <c r="C94" s="14"/>
    </row>
    <row r="95" customFormat="false" ht="13.8" hidden="false" customHeight="false" outlineLevel="0" collapsed="false">
      <c r="B95" s="51"/>
      <c r="C95" s="14"/>
    </row>
    <row r="96" customFormat="false" ht="13.8" hidden="false" customHeight="false" outlineLevel="0" collapsed="false">
      <c r="B96" s="51"/>
      <c r="C96" s="14"/>
    </row>
    <row r="97" customFormat="false" ht="13.8" hidden="false" customHeight="false" outlineLevel="0" collapsed="false">
      <c r="B97" s="51"/>
      <c r="C97" s="14"/>
    </row>
    <row r="98" customFormat="false" ht="13.8" hidden="false" customHeight="false" outlineLevel="0" collapsed="false">
      <c r="B98" s="51"/>
      <c r="C98" s="14"/>
    </row>
    <row r="99" customFormat="false" ht="13.8" hidden="false" customHeight="false" outlineLevel="0" collapsed="false">
      <c r="B99" s="51"/>
      <c r="C99" s="14"/>
    </row>
    <row r="100" customFormat="false" ht="13.8" hidden="false" customHeight="false" outlineLevel="0" collapsed="false">
      <c r="B100" s="51"/>
      <c r="C100" s="14"/>
    </row>
    <row r="101" customFormat="false" ht="13.8" hidden="false" customHeight="false" outlineLevel="0" collapsed="false">
      <c r="B101" s="51"/>
      <c r="C101" s="14"/>
    </row>
    <row r="102" customFormat="false" ht="13.8" hidden="false" customHeight="false" outlineLevel="0" collapsed="false">
      <c r="B102" s="51"/>
      <c r="C102" s="14"/>
    </row>
    <row r="103" customFormat="false" ht="13.8" hidden="false" customHeight="false" outlineLevel="0" collapsed="false">
      <c r="B103" s="51"/>
      <c r="C103" s="14"/>
    </row>
    <row r="104" customFormat="false" ht="13.8" hidden="false" customHeight="false" outlineLevel="0" collapsed="false">
      <c r="B104" s="51"/>
      <c r="C104" s="14"/>
    </row>
    <row r="105" customFormat="false" ht="13.8" hidden="false" customHeight="false" outlineLevel="0" collapsed="false">
      <c r="B105" s="51"/>
      <c r="C105" s="14"/>
    </row>
    <row r="106" customFormat="false" ht="13.8" hidden="false" customHeight="false" outlineLevel="0" collapsed="false">
      <c r="B106" s="51"/>
      <c r="C106" s="14"/>
    </row>
    <row r="107" customFormat="false" ht="13.8" hidden="false" customHeight="false" outlineLevel="0" collapsed="false">
      <c r="B107" s="51"/>
      <c r="C107" s="14"/>
    </row>
    <row r="108" customFormat="false" ht="13.8" hidden="false" customHeight="false" outlineLevel="0" collapsed="false">
      <c r="B108" s="51"/>
      <c r="C108" s="14"/>
    </row>
    <row r="109" customFormat="false" ht="13.8" hidden="false" customHeight="false" outlineLevel="0" collapsed="false">
      <c r="B109" s="51"/>
      <c r="C109" s="14"/>
    </row>
    <row r="110" customFormat="false" ht="13.8" hidden="false" customHeight="false" outlineLevel="0" collapsed="false">
      <c r="B110" s="51"/>
      <c r="C110" s="14"/>
    </row>
    <row r="111" customFormat="false" ht="13.8" hidden="false" customHeight="false" outlineLevel="0" collapsed="false">
      <c r="B111" s="51"/>
      <c r="C111" s="14"/>
    </row>
    <row r="112" customFormat="false" ht="13.8" hidden="false" customHeight="false" outlineLevel="0" collapsed="false">
      <c r="B112" s="51"/>
      <c r="C112" s="14"/>
    </row>
    <row r="113" customFormat="false" ht="13.8" hidden="false" customHeight="false" outlineLevel="0" collapsed="false">
      <c r="B113" s="51"/>
      <c r="C113" s="14"/>
    </row>
    <row r="114" customFormat="false" ht="13.8" hidden="false" customHeight="false" outlineLevel="0" collapsed="false">
      <c r="B114" s="51"/>
      <c r="C114" s="14"/>
    </row>
    <row r="115" customFormat="false" ht="13.8" hidden="false" customHeight="false" outlineLevel="0" collapsed="false">
      <c r="B115" s="51"/>
      <c r="C115" s="14"/>
    </row>
    <row r="116" customFormat="false" ht="13.8" hidden="false" customHeight="false" outlineLevel="0" collapsed="false">
      <c r="B116" s="51"/>
      <c r="C116" s="14"/>
    </row>
    <row r="117" customFormat="false" ht="13.8" hidden="false" customHeight="false" outlineLevel="0" collapsed="false">
      <c r="B117" s="51"/>
      <c r="C117" s="14"/>
    </row>
    <row r="118" customFormat="false" ht="13.8" hidden="false" customHeight="false" outlineLevel="0" collapsed="false">
      <c r="B118" s="51"/>
      <c r="C118" s="14"/>
    </row>
    <row r="119" customFormat="false" ht="13.8" hidden="false" customHeight="false" outlineLevel="0" collapsed="false">
      <c r="B119" s="51"/>
      <c r="C119" s="14"/>
    </row>
    <row r="120" customFormat="false" ht="13.8" hidden="false" customHeight="false" outlineLevel="0" collapsed="false">
      <c r="B120" s="51"/>
      <c r="C120" s="14"/>
    </row>
    <row r="121" customFormat="false" ht="13.8" hidden="false" customHeight="false" outlineLevel="0" collapsed="false">
      <c r="B121" s="51"/>
      <c r="C121" s="14"/>
    </row>
    <row r="122" customFormat="false" ht="13.8" hidden="false" customHeight="false" outlineLevel="0" collapsed="false">
      <c r="B122" s="51"/>
      <c r="C122" s="14"/>
    </row>
    <row r="123" customFormat="false" ht="13.8" hidden="false" customHeight="false" outlineLevel="0" collapsed="false">
      <c r="B123" s="51"/>
      <c r="C123" s="14"/>
    </row>
    <row r="124" customFormat="false" ht="13.8" hidden="false" customHeight="false" outlineLevel="0" collapsed="false">
      <c r="B124" s="51"/>
      <c r="C124" s="14"/>
    </row>
    <row r="125" customFormat="false" ht="13.8" hidden="false" customHeight="false" outlineLevel="0" collapsed="false">
      <c r="B125" s="51"/>
      <c r="C125" s="14"/>
    </row>
    <row r="126" customFormat="false" ht="13.8" hidden="false" customHeight="false" outlineLevel="0" collapsed="false">
      <c r="B126" s="51"/>
      <c r="C126" s="14"/>
    </row>
    <row r="127" customFormat="false" ht="13.8" hidden="false" customHeight="false" outlineLevel="0" collapsed="false">
      <c r="B127" s="51"/>
      <c r="C127" s="14"/>
    </row>
    <row r="128" customFormat="false" ht="13.8" hidden="false" customHeight="false" outlineLevel="0" collapsed="false">
      <c r="B128" s="51"/>
      <c r="C128" s="14"/>
    </row>
    <row r="129" customFormat="false" ht="13.8" hidden="false" customHeight="false" outlineLevel="0" collapsed="false">
      <c r="B129" s="51"/>
      <c r="C129" s="14"/>
    </row>
    <row r="130" customFormat="false" ht="13.8" hidden="false" customHeight="false" outlineLevel="0" collapsed="false">
      <c r="B130" s="51"/>
      <c r="C130" s="14"/>
    </row>
    <row r="131" customFormat="false" ht="13.8" hidden="false" customHeight="false" outlineLevel="0" collapsed="false">
      <c r="B131" s="51"/>
      <c r="C131" s="14"/>
    </row>
    <row r="132" customFormat="false" ht="13.8" hidden="false" customHeight="false" outlineLevel="0" collapsed="false">
      <c r="B132" s="51"/>
      <c r="C132" s="14"/>
    </row>
    <row r="133" customFormat="false" ht="13.8" hidden="false" customHeight="false" outlineLevel="0" collapsed="false">
      <c r="B133" s="51"/>
      <c r="C133" s="14"/>
    </row>
    <row r="134" customFormat="false" ht="13.8" hidden="false" customHeight="false" outlineLevel="0" collapsed="false">
      <c r="B134" s="51"/>
      <c r="C134" s="14"/>
    </row>
    <row r="135" customFormat="false" ht="13.8" hidden="false" customHeight="false" outlineLevel="0" collapsed="false">
      <c r="B135" s="51"/>
      <c r="C135" s="14"/>
    </row>
    <row r="136" customFormat="false" ht="13.8" hidden="false" customHeight="false" outlineLevel="0" collapsed="false">
      <c r="B136" s="51"/>
      <c r="C136" s="14"/>
    </row>
    <row r="137" customFormat="false" ht="13.8" hidden="false" customHeight="false" outlineLevel="0" collapsed="false">
      <c r="B137" s="51"/>
      <c r="C137" s="14"/>
    </row>
    <row r="138" customFormat="false" ht="13.8" hidden="false" customHeight="false" outlineLevel="0" collapsed="false">
      <c r="B138" s="51"/>
      <c r="C138" s="14"/>
    </row>
    <row r="139" customFormat="false" ht="13.8" hidden="false" customHeight="false" outlineLevel="0" collapsed="false">
      <c r="B139" s="51"/>
      <c r="C139" s="14"/>
    </row>
    <row r="140" customFormat="false" ht="13.8" hidden="false" customHeight="false" outlineLevel="0" collapsed="false">
      <c r="B140" s="51"/>
      <c r="C140" s="14"/>
    </row>
    <row r="141" customFormat="false" ht="13.8" hidden="false" customHeight="false" outlineLevel="0" collapsed="false">
      <c r="B141" s="51"/>
      <c r="C141" s="14"/>
    </row>
    <row r="142" customFormat="false" ht="13.8" hidden="false" customHeight="false" outlineLevel="0" collapsed="false">
      <c r="B142" s="51"/>
      <c r="C142" s="14"/>
    </row>
    <row r="143" customFormat="false" ht="13.8" hidden="false" customHeight="false" outlineLevel="0" collapsed="false">
      <c r="B143" s="51"/>
      <c r="C143" s="14"/>
    </row>
    <row r="144" customFormat="false" ht="13.8" hidden="false" customHeight="false" outlineLevel="0" collapsed="false">
      <c r="B144" s="51"/>
      <c r="C144" s="14"/>
    </row>
    <row r="145" customFormat="false" ht="13.8" hidden="false" customHeight="false" outlineLevel="0" collapsed="false">
      <c r="B145" s="51"/>
      <c r="C145" s="14"/>
    </row>
    <row r="146" customFormat="false" ht="13.8" hidden="false" customHeight="false" outlineLevel="0" collapsed="false">
      <c r="B146" s="51"/>
      <c r="C146" s="14"/>
    </row>
    <row r="147" customFormat="false" ht="13.8" hidden="false" customHeight="false" outlineLevel="0" collapsed="false">
      <c r="B147" s="51"/>
      <c r="C147" s="14"/>
    </row>
    <row r="148" customFormat="false" ht="13.8" hidden="false" customHeight="false" outlineLevel="0" collapsed="false">
      <c r="B148" s="51"/>
      <c r="C148" s="14"/>
    </row>
    <row r="149" customFormat="false" ht="13.8" hidden="false" customHeight="false" outlineLevel="0" collapsed="false">
      <c r="B149" s="51"/>
      <c r="C149" s="14"/>
    </row>
    <row r="150" customFormat="false" ht="13.8" hidden="false" customHeight="false" outlineLevel="0" collapsed="false">
      <c r="B150" s="51"/>
      <c r="C150" s="14"/>
    </row>
    <row r="151" customFormat="false" ht="13.8" hidden="false" customHeight="false" outlineLevel="0" collapsed="false">
      <c r="B151" s="51"/>
      <c r="C151" s="14"/>
    </row>
    <row r="152" customFormat="false" ht="13.8" hidden="false" customHeight="false" outlineLevel="0" collapsed="false">
      <c r="B152" s="51"/>
      <c r="C152" s="14"/>
    </row>
    <row r="153" customFormat="false" ht="13.8" hidden="false" customHeight="false" outlineLevel="0" collapsed="false">
      <c r="B153" s="51"/>
      <c r="C153" s="14"/>
    </row>
    <row r="154" customFormat="false" ht="13.8" hidden="false" customHeight="false" outlineLevel="0" collapsed="false">
      <c r="B154" s="51"/>
      <c r="C154" s="14"/>
    </row>
    <row r="155" customFormat="false" ht="13.8" hidden="false" customHeight="false" outlineLevel="0" collapsed="false">
      <c r="B155" s="51"/>
      <c r="C155" s="14"/>
    </row>
    <row r="156" customFormat="false" ht="13.8" hidden="false" customHeight="false" outlineLevel="0" collapsed="false">
      <c r="B156" s="51"/>
      <c r="C156" s="14"/>
    </row>
    <row r="157" customFormat="false" ht="13.8" hidden="false" customHeight="false" outlineLevel="0" collapsed="false">
      <c r="B157" s="51"/>
      <c r="C157" s="14"/>
    </row>
    <row r="158" customFormat="false" ht="13.8" hidden="false" customHeight="false" outlineLevel="0" collapsed="false">
      <c r="B158" s="51"/>
      <c r="C158" s="14"/>
    </row>
    <row r="159" customFormat="false" ht="13.8" hidden="false" customHeight="false" outlineLevel="0" collapsed="false">
      <c r="B159" s="51"/>
      <c r="C159" s="14"/>
    </row>
    <row r="160" customFormat="false" ht="13.8" hidden="false" customHeight="false" outlineLevel="0" collapsed="false">
      <c r="B160" s="51"/>
      <c r="C160" s="14"/>
    </row>
    <row r="161" customFormat="false" ht="13.8" hidden="false" customHeight="false" outlineLevel="0" collapsed="false">
      <c r="B161" s="51"/>
      <c r="C161" s="14"/>
    </row>
    <row r="162" customFormat="false" ht="13.8" hidden="false" customHeight="false" outlineLevel="0" collapsed="false">
      <c r="B162" s="51"/>
      <c r="C162" s="14"/>
    </row>
    <row r="163" customFormat="false" ht="13.8" hidden="false" customHeight="false" outlineLevel="0" collapsed="false">
      <c r="B163" s="51"/>
      <c r="C163" s="14"/>
    </row>
    <row r="164" customFormat="false" ht="13.8" hidden="false" customHeight="false" outlineLevel="0" collapsed="false">
      <c r="B164" s="51"/>
      <c r="C164" s="14"/>
    </row>
    <row r="165" customFormat="false" ht="13.8" hidden="false" customHeight="false" outlineLevel="0" collapsed="false">
      <c r="B165" s="51"/>
      <c r="C165" s="14"/>
    </row>
    <row r="166" customFormat="false" ht="13.8" hidden="false" customHeight="false" outlineLevel="0" collapsed="false">
      <c r="B166" s="51"/>
      <c r="C166" s="14"/>
    </row>
    <row r="167" customFormat="false" ht="13.8" hidden="false" customHeight="false" outlineLevel="0" collapsed="false">
      <c r="B167" s="51"/>
      <c r="C167" s="14"/>
    </row>
    <row r="168" customFormat="false" ht="13.8" hidden="false" customHeight="false" outlineLevel="0" collapsed="false">
      <c r="B168" s="51"/>
      <c r="C168" s="14"/>
    </row>
    <row r="169" customFormat="false" ht="13.8" hidden="false" customHeight="false" outlineLevel="0" collapsed="false">
      <c r="B169" s="51"/>
      <c r="C169" s="14"/>
    </row>
    <row r="170" customFormat="false" ht="13.8" hidden="false" customHeight="false" outlineLevel="0" collapsed="false">
      <c r="B170" s="51"/>
      <c r="C170" s="14"/>
    </row>
    <row r="171" customFormat="false" ht="13.8" hidden="false" customHeight="false" outlineLevel="0" collapsed="false">
      <c r="B171" s="51"/>
      <c r="C171" s="14"/>
    </row>
    <row r="172" customFormat="false" ht="13.8" hidden="false" customHeight="false" outlineLevel="0" collapsed="false">
      <c r="B172" s="51"/>
      <c r="C172" s="14"/>
    </row>
    <row r="173" customFormat="false" ht="13.8" hidden="false" customHeight="false" outlineLevel="0" collapsed="false">
      <c r="B173" s="51"/>
      <c r="C173" s="14"/>
    </row>
    <row r="174" customFormat="false" ht="13.8" hidden="false" customHeight="false" outlineLevel="0" collapsed="false">
      <c r="B174" s="51"/>
      <c r="C174" s="14"/>
    </row>
    <row r="175" customFormat="false" ht="13.8" hidden="false" customHeight="false" outlineLevel="0" collapsed="false">
      <c r="B175" s="51"/>
      <c r="C175" s="14"/>
    </row>
    <row r="176" customFormat="false" ht="13.8" hidden="false" customHeight="false" outlineLevel="0" collapsed="false">
      <c r="B176" s="51"/>
      <c r="C176" s="14"/>
    </row>
    <row r="177" customFormat="false" ht="13.8" hidden="false" customHeight="false" outlineLevel="0" collapsed="false">
      <c r="B177" s="51"/>
      <c r="C177" s="14"/>
    </row>
    <row r="178" customFormat="false" ht="13.8" hidden="false" customHeight="false" outlineLevel="0" collapsed="false">
      <c r="B178" s="51"/>
      <c r="C178" s="14"/>
    </row>
    <row r="179" customFormat="false" ht="13.8" hidden="false" customHeight="false" outlineLevel="0" collapsed="false">
      <c r="B179" s="51"/>
      <c r="C179" s="14"/>
    </row>
    <row r="180" customFormat="false" ht="13.8" hidden="false" customHeight="false" outlineLevel="0" collapsed="false">
      <c r="B180" s="51"/>
      <c r="C180" s="14"/>
    </row>
    <row r="181" customFormat="false" ht="13.8" hidden="false" customHeight="false" outlineLevel="0" collapsed="false">
      <c r="B181" s="51"/>
      <c r="C181" s="14"/>
    </row>
    <row r="182" customFormat="false" ht="13.8" hidden="false" customHeight="false" outlineLevel="0" collapsed="false">
      <c r="B182" s="51"/>
      <c r="C182" s="14"/>
    </row>
    <row r="183" customFormat="false" ht="13.8" hidden="false" customHeight="false" outlineLevel="0" collapsed="false">
      <c r="B183" s="51"/>
      <c r="C183" s="14"/>
    </row>
    <row r="184" customFormat="false" ht="13.8" hidden="false" customHeight="false" outlineLevel="0" collapsed="false">
      <c r="B184" s="51"/>
      <c r="C184" s="14"/>
    </row>
    <row r="185" customFormat="false" ht="13.8" hidden="false" customHeight="false" outlineLevel="0" collapsed="false">
      <c r="B185" s="51"/>
      <c r="C185" s="14"/>
    </row>
    <row r="186" customFormat="false" ht="13.8" hidden="false" customHeight="false" outlineLevel="0" collapsed="false">
      <c r="B186" s="51"/>
      <c r="C186" s="14"/>
    </row>
    <row r="187" customFormat="false" ht="13.8" hidden="false" customHeight="false" outlineLevel="0" collapsed="false">
      <c r="B187" s="51"/>
      <c r="C187" s="14"/>
    </row>
    <row r="188" customFormat="false" ht="13.8" hidden="false" customHeight="false" outlineLevel="0" collapsed="false">
      <c r="B188" s="51"/>
      <c r="C188" s="14"/>
    </row>
    <row r="189" customFormat="false" ht="13.8" hidden="false" customHeight="false" outlineLevel="0" collapsed="false">
      <c r="B189" s="51"/>
      <c r="C189" s="14"/>
    </row>
    <row r="190" customFormat="false" ht="13.8" hidden="false" customHeight="false" outlineLevel="0" collapsed="false">
      <c r="B190" s="51"/>
      <c r="C190" s="14"/>
    </row>
    <row r="191" customFormat="false" ht="13.8" hidden="false" customHeight="false" outlineLevel="0" collapsed="false">
      <c r="B191" s="51"/>
      <c r="C191" s="14"/>
    </row>
    <row r="192" customFormat="false" ht="13.8" hidden="false" customHeight="false" outlineLevel="0" collapsed="false">
      <c r="B192" s="51"/>
      <c r="C192" s="14"/>
    </row>
    <row r="193" customFormat="false" ht="13.8" hidden="false" customHeight="false" outlineLevel="0" collapsed="false">
      <c r="B193" s="51"/>
      <c r="C193" s="14"/>
    </row>
    <row r="194" customFormat="false" ht="13.8" hidden="false" customHeight="false" outlineLevel="0" collapsed="false">
      <c r="B194" s="51"/>
      <c r="C194" s="14"/>
    </row>
    <row r="195" customFormat="false" ht="13.8" hidden="false" customHeight="false" outlineLevel="0" collapsed="false">
      <c r="B195" s="51"/>
      <c r="C195" s="14"/>
    </row>
    <row r="196" customFormat="false" ht="13.8" hidden="false" customHeight="false" outlineLevel="0" collapsed="false">
      <c r="B196" s="51"/>
      <c r="C196" s="14"/>
    </row>
    <row r="197" customFormat="false" ht="13.8" hidden="false" customHeight="false" outlineLevel="0" collapsed="false">
      <c r="B197" s="51"/>
      <c r="C197" s="14"/>
    </row>
    <row r="198" customFormat="false" ht="13.8" hidden="false" customHeight="false" outlineLevel="0" collapsed="false">
      <c r="B198" s="51"/>
      <c r="C198" s="14"/>
    </row>
    <row r="199" customFormat="false" ht="13.8" hidden="false" customHeight="false" outlineLevel="0" collapsed="false">
      <c r="B199" s="51"/>
      <c r="C199" s="14"/>
    </row>
    <row r="200" customFormat="false" ht="13.8" hidden="false" customHeight="false" outlineLevel="0" collapsed="false">
      <c r="B200" s="51"/>
      <c r="C200" s="14"/>
    </row>
    <row r="201" customFormat="false" ht="13.8" hidden="false" customHeight="false" outlineLevel="0" collapsed="false">
      <c r="B201" s="51"/>
      <c r="C201" s="14"/>
    </row>
    <row r="202" customFormat="false" ht="13.8" hidden="false" customHeight="false" outlineLevel="0" collapsed="false">
      <c r="B202" s="51"/>
      <c r="C202" s="14"/>
    </row>
    <row r="203" customFormat="false" ht="13.8" hidden="false" customHeight="false" outlineLevel="0" collapsed="false">
      <c r="B203" s="51"/>
      <c r="C203" s="14"/>
    </row>
    <row r="204" customFormat="false" ht="13.8" hidden="false" customHeight="false" outlineLevel="0" collapsed="false">
      <c r="B204" s="51"/>
      <c r="C204" s="14"/>
    </row>
    <row r="205" customFormat="false" ht="13.8" hidden="false" customHeight="false" outlineLevel="0" collapsed="false">
      <c r="B205" s="51"/>
      <c r="C205" s="14"/>
    </row>
    <row r="206" customFormat="false" ht="13.8" hidden="false" customHeight="false" outlineLevel="0" collapsed="false">
      <c r="B206" s="51"/>
      <c r="C206" s="14"/>
    </row>
    <row r="207" customFormat="false" ht="13.8" hidden="false" customHeight="false" outlineLevel="0" collapsed="false">
      <c r="B207" s="51"/>
      <c r="C207" s="14"/>
    </row>
    <row r="208" customFormat="false" ht="13.8" hidden="false" customHeight="false" outlineLevel="0" collapsed="false">
      <c r="B208" s="51"/>
      <c r="C208" s="14"/>
    </row>
    <row r="209" customFormat="false" ht="13.8" hidden="false" customHeight="false" outlineLevel="0" collapsed="false">
      <c r="B209" s="51"/>
      <c r="C209" s="14"/>
    </row>
    <row r="210" customFormat="false" ht="13.8" hidden="false" customHeight="false" outlineLevel="0" collapsed="false">
      <c r="B210" s="51"/>
      <c r="C210" s="14"/>
    </row>
    <row r="211" customFormat="false" ht="13.8" hidden="false" customHeight="false" outlineLevel="0" collapsed="false">
      <c r="B211" s="51"/>
      <c r="C211" s="14"/>
    </row>
    <row r="212" customFormat="false" ht="13.8" hidden="false" customHeight="false" outlineLevel="0" collapsed="false">
      <c r="B212" s="51"/>
      <c r="C212" s="14"/>
    </row>
    <row r="213" customFormat="false" ht="13.8" hidden="false" customHeight="false" outlineLevel="0" collapsed="false">
      <c r="B213" s="51"/>
      <c r="C213" s="14"/>
    </row>
    <row r="214" customFormat="false" ht="13.8" hidden="false" customHeight="false" outlineLevel="0" collapsed="false">
      <c r="B214" s="51"/>
      <c r="C214" s="14"/>
    </row>
    <row r="215" customFormat="false" ht="13.8" hidden="false" customHeight="false" outlineLevel="0" collapsed="false">
      <c r="B215" s="51"/>
      <c r="C215" s="14"/>
    </row>
    <row r="216" customFormat="false" ht="13.8" hidden="false" customHeight="false" outlineLevel="0" collapsed="false">
      <c r="B216" s="51"/>
      <c r="C216" s="14"/>
    </row>
    <row r="217" customFormat="false" ht="13.8" hidden="false" customHeight="false" outlineLevel="0" collapsed="false">
      <c r="B217" s="51"/>
      <c r="C217" s="14"/>
    </row>
    <row r="218" customFormat="false" ht="13.8" hidden="false" customHeight="false" outlineLevel="0" collapsed="false">
      <c r="B218" s="51"/>
      <c r="C218" s="14"/>
    </row>
    <row r="219" customFormat="false" ht="13.8" hidden="false" customHeight="false" outlineLevel="0" collapsed="false">
      <c r="B219" s="51"/>
      <c r="C219" s="14"/>
    </row>
    <row r="220" customFormat="false" ht="13.8" hidden="false" customHeight="false" outlineLevel="0" collapsed="false">
      <c r="B220" s="51"/>
      <c r="C220" s="14"/>
    </row>
    <row r="221" customFormat="false" ht="13.8" hidden="false" customHeight="false" outlineLevel="0" collapsed="false">
      <c r="B221" s="51"/>
      <c r="C221" s="14"/>
    </row>
    <row r="222" customFormat="false" ht="13.8" hidden="false" customHeight="false" outlineLevel="0" collapsed="false">
      <c r="B222" s="51"/>
      <c r="C222" s="14"/>
    </row>
    <row r="223" customFormat="false" ht="13.8" hidden="false" customHeight="false" outlineLevel="0" collapsed="false">
      <c r="B223" s="51"/>
      <c r="C223" s="14"/>
    </row>
    <row r="224" customFormat="false" ht="13.8" hidden="false" customHeight="false" outlineLevel="0" collapsed="false">
      <c r="B224" s="51"/>
      <c r="C224" s="14"/>
    </row>
    <row r="225" customFormat="false" ht="13.8" hidden="false" customHeight="false" outlineLevel="0" collapsed="false">
      <c r="B225" s="51"/>
      <c r="C225" s="14"/>
    </row>
    <row r="226" customFormat="false" ht="13.8" hidden="false" customHeight="false" outlineLevel="0" collapsed="false">
      <c r="B226" s="51"/>
      <c r="C226" s="14"/>
    </row>
    <row r="227" customFormat="false" ht="13.8" hidden="false" customHeight="false" outlineLevel="0" collapsed="false">
      <c r="B227" s="51"/>
      <c r="C227" s="14"/>
    </row>
    <row r="228" customFormat="false" ht="13.8" hidden="false" customHeight="false" outlineLevel="0" collapsed="false">
      <c r="B228" s="51"/>
      <c r="C228" s="14"/>
    </row>
    <row r="229" customFormat="false" ht="13.8" hidden="false" customHeight="false" outlineLevel="0" collapsed="false">
      <c r="B229" s="51"/>
      <c r="C229" s="14"/>
    </row>
    <row r="230" customFormat="false" ht="13.8" hidden="false" customHeight="false" outlineLevel="0" collapsed="false">
      <c r="B230" s="51"/>
      <c r="C230" s="14"/>
    </row>
    <row r="231" customFormat="false" ht="13.8" hidden="false" customHeight="false" outlineLevel="0" collapsed="false">
      <c r="B231" s="51"/>
      <c r="C231" s="14"/>
    </row>
    <row r="232" customFormat="false" ht="13.8" hidden="false" customHeight="false" outlineLevel="0" collapsed="false">
      <c r="B232" s="51"/>
      <c r="C232" s="14"/>
    </row>
    <row r="233" customFormat="false" ht="13.8" hidden="false" customHeight="false" outlineLevel="0" collapsed="false">
      <c r="B233" s="51"/>
      <c r="C233" s="14"/>
    </row>
    <row r="234" customFormat="false" ht="13.8" hidden="false" customHeight="false" outlineLevel="0" collapsed="false">
      <c r="B234" s="51"/>
      <c r="C234" s="14"/>
    </row>
    <row r="235" customFormat="false" ht="13.8" hidden="false" customHeight="false" outlineLevel="0" collapsed="false">
      <c r="B235" s="51"/>
      <c r="C235" s="14"/>
    </row>
    <row r="236" customFormat="false" ht="13.8" hidden="false" customHeight="false" outlineLevel="0" collapsed="false">
      <c r="B236" s="51"/>
      <c r="C236" s="14"/>
    </row>
    <row r="237" customFormat="false" ht="13.8" hidden="false" customHeight="false" outlineLevel="0" collapsed="false">
      <c r="B237" s="51"/>
      <c r="C237" s="14"/>
    </row>
    <row r="238" customFormat="false" ht="13.8" hidden="false" customHeight="false" outlineLevel="0" collapsed="false">
      <c r="B238" s="51"/>
      <c r="C238" s="14"/>
    </row>
    <row r="239" customFormat="false" ht="13.8" hidden="false" customHeight="false" outlineLevel="0" collapsed="false">
      <c r="B239" s="51"/>
      <c r="C239" s="14"/>
    </row>
    <row r="240" customFormat="false" ht="13.8" hidden="false" customHeight="false" outlineLevel="0" collapsed="false">
      <c r="B240" s="51"/>
      <c r="C240" s="14"/>
    </row>
    <row r="241" customFormat="false" ht="13.8" hidden="false" customHeight="false" outlineLevel="0" collapsed="false">
      <c r="B241" s="51"/>
      <c r="C241" s="14"/>
    </row>
    <row r="242" customFormat="false" ht="13.8" hidden="false" customHeight="false" outlineLevel="0" collapsed="false">
      <c r="B242" s="51"/>
      <c r="C242" s="14"/>
    </row>
    <row r="243" customFormat="false" ht="13.8" hidden="false" customHeight="false" outlineLevel="0" collapsed="false">
      <c r="B243" s="51"/>
      <c r="C243" s="14"/>
    </row>
    <row r="244" customFormat="false" ht="13.8" hidden="false" customHeight="false" outlineLevel="0" collapsed="false">
      <c r="B244" s="51"/>
      <c r="C244" s="14"/>
    </row>
    <row r="245" customFormat="false" ht="13.8" hidden="false" customHeight="false" outlineLevel="0" collapsed="false">
      <c r="B245" s="51"/>
      <c r="C245" s="14"/>
    </row>
    <row r="246" customFormat="false" ht="13.8" hidden="false" customHeight="false" outlineLevel="0" collapsed="false">
      <c r="B246" s="51"/>
      <c r="C246" s="14"/>
    </row>
    <row r="247" customFormat="false" ht="13.8" hidden="false" customHeight="false" outlineLevel="0" collapsed="false">
      <c r="B247" s="51"/>
      <c r="C247" s="14"/>
    </row>
    <row r="248" customFormat="false" ht="13.8" hidden="false" customHeight="false" outlineLevel="0" collapsed="false">
      <c r="B248" s="51"/>
      <c r="C248" s="14"/>
    </row>
    <row r="249" customFormat="false" ht="13.8" hidden="false" customHeight="false" outlineLevel="0" collapsed="false">
      <c r="B249" s="51"/>
      <c r="C249" s="14"/>
    </row>
    <row r="250" customFormat="false" ht="13.8" hidden="false" customHeight="false" outlineLevel="0" collapsed="false">
      <c r="B250" s="51"/>
      <c r="C250" s="14"/>
    </row>
    <row r="251" customFormat="false" ht="13.8" hidden="false" customHeight="false" outlineLevel="0" collapsed="false">
      <c r="B251" s="51"/>
      <c r="C251" s="14"/>
    </row>
    <row r="252" customFormat="false" ht="13.8" hidden="false" customHeight="false" outlineLevel="0" collapsed="false">
      <c r="B252" s="51"/>
      <c r="C252" s="14"/>
    </row>
    <row r="253" customFormat="false" ht="13.8" hidden="false" customHeight="false" outlineLevel="0" collapsed="false">
      <c r="B253" s="51"/>
      <c r="C253" s="14"/>
    </row>
    <row r="254" customFormat="false" ht="13.8" hidden="false" customHeight="false" outlineLevel="0" collapsed="false">
      <c r="B254" s="51"/>
      <c r="C254" s="14"/>
    </row>
    <row r="255" customFormat="false" ht="13.8" hidden="false" customHeight="false" outlineLevel="0" collapsed="false">
      <c r="B255" s="51"/>
      <c r="C255" s="14"/>
    </row>
    <row r="256" customFormat="false" ht="13.8" hidden="false" customHeight="false" outlineLevel="0" collapsed="false">
      <c r="B256" s="51"/>
      <c r="C256" s="14"/>
    </row>
    <row r="257" customFormat="false" ht="13.8" hidden="false" customHeight="false" outlineLevel="0" collapsed="false">
      <c r="B257" s="51"/>
      <c r="C257" s="14"/>
    </row>
    <row r="258" customFormat="false" ht="13.8" hidden="false" customHeight="false" outlineLevel="0" collapsed="false">
      <c r="B258" s="51"/>
      <c r="C258" s="14"/>
    </row>
    <row r="259" customFormat="false" ht="13.8" hidden="false" customHeight="false" outlineLevel="0" collapsed="false">
      <c r="B259" s="51"/>
      <c r="C259" s="14"/>
    </row>
    <row r="260" customFormat="false" ht="13.8" hidden="false" customHeight="false" outlineLevel="0" collapsed="false">
      <c r="B260" s="51"/>
      <c r="C260" s="14"/>
    </row>
    <row r="261" customFormat="false" ht="13.8" hidden="false" customHeight="false" outlineLevel="0" collapsed="false">
      <c r="B261" s="51"/>
      <c r="C261" s="14"/>
    </row>
    <row r="262" customFormat="false" ht="13.8" hidden="false" customHeight="false" outlineLevel="0" collapsed="false">
      <c r="B262" s="51"/>
      <c r="C262" s="14"/>
    </row>
    <row r="263" customFormat="false" ht="13.8" hidden="false" customHeight="false" outlineLevel="0" collapsed="false">
      <c r="B263" s="51"/>
      <c r="C263" s="14"/>
    </row>
    <row r="264" customFormat="false" ht="13.8" hidden="false" customHeight="false" outlineLevel="0" collapsed="false">
      <c r="B264" s="51"/>
      <c r="C264" s="14"/>
    </row>
    <row r="265" customFormat="false" ht="13.8" hidden="false" customHeight="false" outlineLevel="0" collapsed="false">
      <c r="B265" s="51"/>
      <c r="C265" s="14"/>
    </row>
    <row r="266" customFormat="false" ht="13.8" hidden="false" customHeight="false" outlineLevel="0" collapsed="false">
      <c r="B266" s="51"/>
      <c r="C266" s="14"/>
    </row>
    <row r="267" customFormat="false" ht="13.8" hidden="false" customHeight="false" outlineLevel="0" collapsed="false">
      <c r="B267" s="51"/>
      <c r="C267" s="14"/>
    </row>
    <row r="268" customFormat="false" ht="13.8" hidden="false" customHeight="false" outlineLevel="0" collapsed="false">
      <c r="B268" s="51"/>
      <c r="C268" s="14"/>
    </row>
    <row r="269" customFormat="false" ht="13.8" hidden="false" customHeight="false" outlineLevel="0" collapsed="false">
      <c r="B269" s="51"/>
      <c r="C269" s="14"/>
    </row>
    <row r="270" customFormat="false" ht="13.8" hidden="false" customHeight="false" outlineLevel="0" collapsed="false">
      <c r="B270" s="51"/>
      <c r="C270" s="14"/>
    </row>
    <row r="271" customFormat="false" ht="13.8" hidden="false" customHeight="false" outlineLevel="0" collapsed="false">
      <c r="B271" s="51"/>
      <c r="C271" s="14"/>
    </row>
    <row r="272" customFormat="false" ht="13.8" hidden="false" customHeight="false" outlineLevel="0" collapsed="false">
      <c r="B272" s="51"/>
      <c r="C272" s="14"/>
    </row>
    <row r="273" customFormat="false" ht="13.8" hidden="false" customHeight="false" outlineLevel="0" collapsed="false">
      <c r="B273" s="51"/>
      <c r="C273" s="14"/>
    </row>
    <row r="274" customFormat="false" ht="13.8" hidden="false" customHeight="false" outlineLevel="0" collapsed="false">
      <c r="B274" s="51"/>
      <c r="C274" s="14"/>
    </row>
    <row r="275" customFormat="false" ht="13.8" hidden="false" customHeight="false" outlineLevel="0" collapsed="false">
      <c r="B275" s="51"/>
      <c r="C275" s="14"/>
    </row>
    <row r="276" customFormat="false" ht="13.8" hidden="false" customHeight="false" outlineLevel="0" collapsed="false">
      <c r="B276" s="51"/>
      <c r="C276" s="14"/>
    </row>
    <row r="277" customFormat="false" ht="13.8" hidden="false" customHeight="false" outlineLevel="0" collapsed="false">
      <c r="B277" s="51"/>
      <c r="C277" s="14"/>
    </row>
    <row r="278" customFormat="false" ht="13.8" hidden="false" customHeight="false" outlineLevel="0" collapsed="false">
      <c r="B278" s="51"/>
      <c r="C278" s="14"/>
    </row>
    <row r="279" customFormat="false" ht="13.8" hidden="false" customHeight="false" outlineLevel="0" collapsed="false">
      <c r="B279" s="51"/>
      <c r="C279" s="14"/>
    </row>
    <row r="280" customFormat="false" ht="13.8" hidden="false" customHeight="false" outlineLevel="0" collapsed="false">
      <c r="B280" s="51"/>
      <c r="C280" s="14"/>
    </row>
    <row r="281" customFormat="false" ht="13.8" hidden="false" customHeight="false" outlineLevel="0" collapsed="false">
      <c r="B281" s="51"/>
      <c r="C281" s="14"/>
    </row>
    <row r="282" customFormat="false" ht="13.8" hidden="false" customHeight="false" outlineLevel="0" collapsed="false">
      <c r="B282" s="51"/>
      <c r="C282" s="14"/>
    </row>
    <row r="283" customFormat="false" ht="13.8" hidden="false" customHeight="false" outlineLevel="0" collapsed="false">
      <c r="B283" s="51"/>
      <c r="C283" s="14"/>
    </row>
    <row r="284" customFormat="false" ht="13.8" hidden="false" customHeight="false" outlineLevel="0" collapsed="false">
      <c r="B284" s="51"/>
      <c r="C284" s="14"/>
    </row>
    <row r="285" customFormat="false" ht="13.8" hidden="false" customHeight="false" outlineLevel="0" collapsed="false">
      <c r="B285" s="51"/>
      <c r="C285" s="14"/>
    </row>
    <row r="286" customFormat="false" ht="13.8" hidden="false" customHeight="false" outlineLevel="0" collapsed="false">
      <c r="B286" s="51"/>
      <c r="C286" s="14"/>
    </row>
    <row r="287" customFormat="false" ht="13.8" hidden="false" customHeight="false" outlineLevel="0" collapsed="false">
      <c r="B287" s="51"/>
      <c r="C287" s="14"/>
    </row>
    <row r="288" customFormat="false" ht="13.8" hidden="false" customHeight="false" outlineLevel="0" collapsed="false">
      <c r="B288" s="51"/>
      <c r="C288" s="14"/>
    </row>
    <row r="289" customFormat="false" ht="13.8" hidden="false" customHeight="false" outlineLevel="0" collapsed="false">
      <c r="B289" s="51"/>
      <c r="C289" s="14"/>
    </row>
    <row r="290" customFormat="false" ht="13.8" hidden="false" customHeight="false" outlineLevel="0" collapsed="false">
      <c r="B290" s="51"/>
      <c r="C290" s="14"/>
    </row>
    <row r="291" customFormat="false" ht="13.8" hidden="false" customHeight="false" outlineLevel="0" collapsed="false">
      <c r="B291" s="51"/>
      <c r="C291" s="14"/>
    </row>
    <row r="292" customFormat="false" ht="13.8" hidden="false" customHeight="false" outlineLevel="0" collapsed="false">
      <c r="B292" s="51"/>
      <c r="C292" s="14"/>
    </row>
    <row r="293" customFormat="false" ht="13.8" hidden="false" customHeight="false" outlineLevel="0" collapsed="false">
      <c r="B293" s="51"/>
      <c r="C293" s="14"/>
    </row>
    <row r="294" customFormat="false" ht="13.8" hidden="false" customHeight="false" outlineLevel="0" collapsed="false">
      <c r="B294" s="51"/>
      <c r="C294" s="14"/>
    </row>
    <row r="295" customFormat="false" ht="13.8" hidden="false" customHeight="false" outlineLevel="0" collapsed="false">
      <c r="B295" s="51"/>
      <c r="C295" s="14"/>
    </row>
    <row r="296" customFormat="false" ht="13.8" hidden="false" customHeight="false" outlineLevel="0" collapsed="false">
      <c r="B296" s="51"/>
      <c r="C296" s="14"/>
    </row>
    <row r="297" customFormat="false" ht="13.8" hidden="false" customHeight="false" outlineLevel="0" collapsed="false">
      <c r="B297" s="51"/>
      <c r="C297" s="14"/>
    </row>
    <row r="298" customFormat="false" ht="13.8" hidden="false" customHeight="false" outlineLevel="0" collapsed="false">
      <c r="B298" s="51"/>
      <c r="C298" s="14"/>
    </row>
    <row r="299" customFormat="false" ht="13.8" hidden="false" customHeight="false" outlineLevel="0" collapsed="false">
      <c r="B299" s="51"/>
      <c r="C299" s="14"/>
    </row>
    <row r="300" customFormat="false" ht="13.8" hidden="false" customHeight="false" outlineLevel="0" collapsed="false">
      <c r="B300" s="51"/>
      <c r="C300" s="14"/>
    </row>
    <row r="301" customFormat="false" ht="13.8" hidden="false" customHeight="false" outlineLevel="0" collapsed="false">
      <c r="B301" s="51"/>
      <c r="C301" s="14"/>
    </row>
    <row r="302" customFormat="false" ht="13.8" hidden="false" customHeight="false" outlineLevel="0" collapsed="false">
      <c r="B302" s="51"/>
      <c r="C302" s="14"/>
    </row>
    <row r="303" customFormat="false" ht="13.8" hidden="false" customHeight="false" outlineLevel="0" collapsed="false">
      <c r="B303" s="51"/>
      <c r="C303" s="14"/>
    </row>
    <row r="304" customFormat="false" ht="13.8" hidden="false" customHeight="false" outlineLevel="0" collapsed="false">
      <c r="B304" s="51"/>
      <c r="C304" s="14"/>
    </row>
    <row r="305" customFormat="false" ht="13.8" hidden="false" customHeight="false" outlineLevel="0" collapsed="false">
      <c r="B305" s="51"/>
      <c r="C305" s="14"/>
    </row>
    <row r="306" customFormat="false" ht="13.8" hidden="false" customHeight="false" outlineLevel="0" collapsed="false">
      <c r="B306" s="51"/>
      <c r="C306" s="14"/>
    </row>
    <row r="307" customFormat="false" ht="13.8" hidden="false" customHeight="false" outlineLevel="0" collapsed="false">
      <c r="B307" s="51"/>
      <c r="C307" s="14"/>
    </row>
    <row r="308" customFormat="false" ht="13.8" hidden="false" customHeight="false" outlineLevel="0" collapsed="false">
      <c r="B308" s="51"/>
      <c r="C308" s="14"/>
    </row>
    <row r="309" customFormat="false" ht="13.8" hidden="false" customHeight="false" outlineLevel="0" collapsed="false">
      <c r="B309" s="51"/>
      <c r="C309" s="14"/>
    </row>
    <row r="310" customFormat="false" ht="13.8" hidden="false" customHeight="false" outlineLevel="0" collapsed="false">
      <c r="B310" s="51"/>
      <c r="C310" s="14"/>
    </row>
    <row r="311" customFormat="false" ht="13.8" hidden="false" customHeight="false" outlineLevel="0" collapsed="false">
      <c r="B311" s="51"/>
      <c r="C311" s="14"/>
    </row>
    <row r="312" customFormat="false" ht="13.8" hidden="false" customHeight="false" outlineLevel="0" collapsed="false">
      <c r="B312" s="51"/>
      <c r="C312" s="14"/>
    </row>
    <row r="313" customFormat="false" ht="13.8" hidden="false" customHeight="false" outlineLevel="0" collapsed="false">
      <c r="B313" s="51"/>
      <c r="C313" s="14"/>
    </row>
    <row r="314" customFormat="false" ht="13.8" hidden="false" customHeight="false" outlineLevel="0" collapsed="false">
      <c r="B314" s="51"/>
      <c r="C314" s="14"/>
    </row>
    <row r="315" customFormat="false" ht="13.8" hidden="false" customHeight="false" outlineLevel="0" collapsed="false">
      <c r="B315" s="51"/>
      <c r="C315" s="14"/>
    </row>
    <row r="316" customFormat="false" ht="13.8" hidden="false" customHeight="false" outlineLevel="0" collapsed="false">
      <c r="B316" s="51"/>
      <c r="C316" s="14"/>
    </row>
    <row r="317" customFormat="false" ht="13.8" hidden="false" customHeight="false" outlineLevel="0" collapsed="false">
      <c r="B317" s="51"/>
      <c r="C317" s="14"/>
    </row>
    <row r="318" customFormat="false" ht="13.8" hidden="false" customHeight="false" outlineLevel="0" collapsed="false">
      <c r="B318" s="51"/>
      <c r="C318" s="14"/>
    </row>
    <row r="319" customFormat="false" ht="13.8" hidden="false" customHeight="false" outlineLevel="0" collapsed="false">
      <c r="B319" s="51"/>
      <c r="C319" s="14"/>
    </row>
    <row r="320" customFormat="false" ht="13.8" hidden="false" customHeight="false" outlineLevel="0" collapsed="false">
      <c r="B320" s="51"/>
      <c r="C320" s="14"/>
    </row>
    <row r="321" customFormat="false" ht="13.8" hidden="false" customHeight="false" outlineLevel="0" collapsed="false">
      <c r="B321" s="51"/>
      <c r="C321" s="14"/>
    </row>
    <row r="322" customFormat="false" ht="13.8" hidden="false" customHeight="false" outlineLevel="0" collapsed="false">
      <c r="B322" s="51"/>
      <c r="C322" s="14"/>
    </row>
    <row r="323" customFormat="false" ht="13.8" hidden="false" customHeight="false" outlineLevel="0" collapsed="false">
      <c r="B323" s="51"/>
      <c r="C323" s="14"/>
    </row>
    <row r="324" customFormat="false" ht="13.8" hidden="false" customHeight="false" outlineLevel="0" collapsed="false">
      <c r="B324" s="51"/>
      <c r="C324" s="14"/>
    </row>
    <row r="325" customFormat="false" ht="13.8" hidden="false" customHeight="false" outlineLevel="0" collapsed="false">
      <c r="B325" s="51"/>
      <c r="C325" s="14"/>
    </row>
    <row r="326" customFormat="false" ht="13.8" hidden="false" customHeight="false" outlineLevel="0" collapsed="false">
      <c r="B326" s="51"/>
      <c r="C326" s="14"/>
    </row>
    <row r="327" customFormat="false" ht="13.8" hidden="false" customHeight="false" outlineLevel="0" collapsed="false">
      <c r="B327" s="51"/>
      <c r="C327" s="14"/>
    </row>
    <row r="328" customFormat="false" ht="13.8" hidden="false" customHeight="false" outlineLevel="0" collapsed="false">
      <c r="B328" s="51"/>
      <c r="C328" s="14"/>
    </row>
    <row r="329" customFormat="false" ht="13.8" hidden="false" customHeight="false" outlineLevel="0" collapsed="false">
      <c r="B329" s="51"/>
      <c r="C329" s="14"/>
    </row>
    <row r="330" customFormat="false" ht="13.8" hidden="false" customHeight="false" outlineLevel="0" collapsed="false">
      <c r="B330" s="51"/>
      <c r="C330" s="14"/>
    </row>
    <row r="331" customFormat="false" ht="13.8" hidden="false" customHeight="false" outlineLevel="0" collapsed="false">
      <c r="B331" s="51"/>
      <c r="C331" s="14"/>
    </row>
    <row r="332" customFormat="false" ht="13.8" hidden="false" customHeight="false" outlineLevel="0" collapsed="false">
      <c r="B332" s="51"/>
      <c r="C332" s="14"/>
    </row>
    <row r="333" customFormat="false" ht="13.8" hidden="false" customHeight="false" outlineLevel="0" collapsed="false">
      <c r="B333" s="51"/>
      <c r="C333" s="14"/>
    </row>
    <row r="334" customFormat="false" ht="13.8" hidden="false" customHeight="false" outlineLevel="0" collapsed="false">
      <c r="B334" s="51"/>
      <c r="C334" s="14"/>
    </row>
    <row r="335" customFormat="false" ht="13.8" hidden="false" customHeight="false" outlineLevel="0" collapsed="false">
      <c r="B335" s="51"/>
      <c r="C335" s="14"/>
    </row>
    <row r="336" customFormat="false" ht="13.8" hidden="false" customHeight="false" outlineLevel="0" collapsed="false">
      <c r="B336" s="51"/>
      <c r="C336" s="14"/>
    </row>
    <row r="337" customFormat="false" ht="13.8" hidden="false" customHeight="false" outlineLevel="0" collapsed="false">
      <c r="B337" s="51"/>
      <c r="C337" s="14"/>
    </row>
    <row r="338" customFormat="false" ht="13.8" hidden="false" customHeight="false" outlineLevel="0" collapsed="false">
      <c r="B338" s="51"/>
      <c r="C338" s="14"/>
    </row>
    <row r="339" customFormat="false" ht="13.8" hidden="false" customHeight="false" outlineLevel="0" collapsed="false">
      <c r="B339" s="51"/>
      <c r="C339" s="14"/>
    </row>
    <row r="340" customFormat="false" ht="13.8" hidden="false" customHeight="false" outlineLevel="0" collapsed="false">
      <c r="B340" s="51"/>
      <c r="C340" s="14"/>
    </row>
    <row r="341" customFormat="false" ht="13.8" hidden="false" customHeight="false" outlineLevel="0" collapsed="false">
      <c r="B341" s="51"/>
      <c r="C341" s="14"/>
    </row>
    <row r="342" customFormat="false" ht="13.8" hidden="false" customHeight="false" outlineLevel="0" collapsed="false">
      <c r="B342" s="51"/>
      <c r="C342" s="14"/>
    </row>
    <row r="343" customFormat="false" ht="13.8" hidden="false" customHeight="false" outlineLevel="0" collapsed="false">
      <c r="B343" s="51"/>
      <c r="C343" s="14"/>
    </row>
    <row r="344" customFormat="false" ht="13.8" hidden="false" customHeight="false" outlineLevel="0" collapsed="false">
      <c r="B344" s="51"/>
      <c r="C344" s="14"/>
    </row>
    <row r="345" customFormat="false" ht="13.8" hidden="false" customHeight="false" outlineLevel="0" collapsed="false">
      <c r="B345" s="51"/>
      <c r="C345" s="14"/>
    </row>
    <row r="346" customFormat="false" ht="13.8" hidden="false" customHeight="false" outlineLevel="0" collapsed="false">
      <c r="B346" s="51"/>
      <c r="C346" s="14"/>
    </row>
    <row r="347" customFormat="false" ht="13.8" hidden="false" customHeight="false" outlineLevel="0" collapsed="false">
      <c r="B347" s="51"/>
      <c r="C347" s="14"/>
    </row>
    <row r="348" customFormat="false" ht="13.8" hidden="false" customHeight="false" outlineLevel="0" collapsed="false">
      <c r="B348" s="51"/>
      <c r="C348" s="14"/>
    </row>
    <row r="349" customFormat="false" ht="13.8" hidden="false" customHeight="false" outlineLevel="0" collapsed="false">
      <c r="B349" s="51"/>
      <c r="C349" s="14"/>
    </row>
    <row r="350" customFormat="false" ht="13.8" hidden="false" customHeight="false" outlineLevel="0" collapsed="false">
      <c r="B350" s="51"/>
      <c r="C350" s="14"/>
    </row>
    <row r="351" customFormat="false" ht="13.8" hidden="false" customHeight="false" outlineLevel="0" collapsed="false">
      <c r="B351" s="51"/>
      <c r="C351" s="14"/>
    </row>
    <row r="352" customFormat="false" ht="13.8" hidden="false" customHeight="false" outlineLevel="0" collapsed="false">
      <c r="B352" s="51"/>
      <c r="C352" s="14"/>
    </row>
    <row r="353" customFormat="false" ht="13.8" hidden="false" customHeight="false" outlineLevel="0" collapsed="false">
      <c r="B353" s="51"/>
      <c r="C353" s="14"/>
    </row>
    <row r="354" customFormat="false" ht="13.8" hidden="false" customHeight="false" outlineLevel="0" collapsed="false">
      <c r="B354" s="51"/>
      <c r="C354" s="14"/>
    </row>
    <row r="355" customFormat="false" ht="13.8" hidden="false" customHeight="false" outlineLevel="0" collapsed="false">
      <c r="B355" s="51"/>
      <c r="C355" s="14"/>
    </row>
    <row r="356" customFormat="false" ht="13.8" hidden="false" customHeight="false" outlineLevel="0" collapsed="false">
      <c r="B356" s="51"/>
      <c r="C356" s="14"/>
    </row>
    <row r="357" customFormat="false" ht="13.8" hidden="false" customHeight="false" outlineLevel="0" collapsed="false">
      <c r="B357" s="51"/>
      <c r="C357" s="14"/>
    </row>
    <row r="358" customFormat="false" ht="13.8" hidden="false" customHeight="false" outlineLevel="0" collapsed="false">
      <c r="B358" s="51"/>
      <c r="C358" s="14"/>
    </row>
    <row r="359" customFormat="false" ht="13.8" hidden="false" customHeight="false" outlineLevel="0" collapsed="false">
      <c r="B359" s="51"/>
      <c r="C359" s="14"/>
    </row>
    <row r="360" customFormat="false" ht="13.8" hidden="false" customHeight="false" outlineLevel="0" collapsed="false">
      <c r="B360" s="51"/>
      <c r="C360" s="14"/>
    </row>
    <row r="361" customFormat="false" ht="13.8" hidden="false" customHeight="false" outlineLevel="0" collapsed="false">
      <c r="B361" s="51"/>
      <c r="C361" s="14"/>
    </row>
    <row r="362" customFormat="false" ht="13.8" hidden="false" customHeight="false" outlineLevel="0" collapsed="false">
      <c r="B362" s="51"/>
      <c r="C362" s="14"/>
    </row>
    <row r="363" customFormat="false" ht="13.8" hidden="false" customHeight="false" outlineLevel="0" collapsed="false">
      <c r="B363" s="51"/>
      <c r="C363" s="14"/>
    </row>
    <row r="364" customFormat="false" ht="13.8" hidden="false" customHeight="false" outlineLevel="0" collapsed="false">
      <c r="B364" s="51"/>
      <c r="C364" s="14"/>
    </row>
    <row r="365" customFormat="false" ht="13.8" hidden="false" customHeight="false" outlineLevel="0" collapsed="false">
      <c r="B365" s="51"/>
      <c r="C365" s="14"/>
    </row>
    <row r="366" customFormat="false" ht="13.8" hidden="false" customHeight="false" outlineLevel="0" collapsed="false">
      <c r="B366" s="51"/>
      <c r="C366" s="14"/>
    </row>
    <row r="367" customFormat="false" ht="13.8" hidden="false" customHeight="false" outlineLevel="0" collapsed="false">
      <c r="B367" s="51"/>
      <c r="C367" s="14"/>
    </row>
    <row r="368" customFormat="false" ht="13.8" hidden="false" customHeight="false" outlineLevel="0" collapsed="false">
      <c r="B368" s="51"/>
      <c r="C368" s="14"/>
    </row>
    <row r="369" customFormat="false" ht="13.8" hidden="false" customHeight="false" outlineLevel="0" collapsed="false">
      <c r="B369" s="51"/>
      <c r="C369" s="14"/>
    </row>
    <row r="370" customFormat="false" ht="13.8" hidden="false" customHeight="false" outlineLevel="0" collapsed="false">
      <c r="B370" s="51"/>
      <c r="C370" s="14"/>
    </row>
    <row r="371" customFormat="false" ht="13.8" hidden="false" customHeight="false" outlineLevel="0" collapsed="false">
      <c r="B371" s="51"/>
      <c r="C371" s="14"/>
    </row>
    <row r="372" customFormat="false" ht="13.8" hidden="false" customHeight="false" outlineLevel="0" collapsed="false">
      <c r="B372" s="51"/>
      <c r="C372" s="14"/>
    </row>
    <row r="373" customFormat="false" ht="13.8" hidden="false" customHeight="false" outlineLevel="0" collapsed="false">
      <c r="B373" s="51"/>
      <c r="C373" s="14"/>
    </row>
    <row r="374" customFormat="false" ht="13.8" hidden="false" customHeight="false" outlineLevel="0" collapsed="false">
      <c r="B374" s="51"/>
      <c r="C374" s="14"/>
    </row>
    <row r="375" customFormat="false" ht="13.8" hidden="false" customHeight="false" outlineLevel="0" collapsed="false">
      <c r="B375" s="51"/>
      <c r="C375" s="14"/>
    </row>
    <row r="376" customFormat="false" ht="13.8" hidden="false" customHeight="false" outlineLevel="0" collapsed="false">
      <c r="B376" s="51"/>
      <c r="C376" s="14"/>
    </row>
    <row r="377" customFormat="false" ht="13.8" hidden="false" customHeight="false" outlineLevel="0" collapsed="false">
      <c r="B377" s="51"/>
      <c r="C377" s="14"/>
    </row>
    <row r="378" customFormat="false" ht="13.8" hidden="false" customHeight="false" outlineLevel="0" collapsed="false">
      <c r="B378" s="51"/>
      <c r="C378" s="14"/>
    </row>
    <row r="379" customFormat="false" ht="13.8" hidden="false" customHeight="false" outlineLevel="0" collapsed="false">
      <c r="B379" s="51"/>
      <c r="C379" s="14"/>
    </row>
    <row r="380" customFormat="false" ht="13.8" hidden="false" customHeight="false" outlineLevel="0" collapsed="false">
      <c r="B380" s="51"/>
      <c r="C380" s="14"/>
    </row>
    <row r="381" customFormat="false" ht="13.8" hidden="false" customHeight="false" outlineLevel="0" collapsed="false">
      <c r="B381" s="51"/>
      <c r="C381" s="14"/>
    </row>
    <row r="382" customFormat="false" ht="13.8" hidden="false" customHeight="false" outlineLevel="0" collapsed="false">
      <c r="B382" s="51"/>
      <c r="C382" s="14"/>
    </row>
    <row r="383" customFormat="false" ht="13.8" hidden="false" customHeight="false" outlineLevel="0" collapsed="false">
      <c r="B383" s="51"/>
      <c r="C383" s="14"/>
    </row>
    <row r="384" customFormat="false" ht="13.8" hidden="false" customHeight="false" outlineLevel="0" collapsed="false">
      <c r="B384" s="51"/>
      <c r="C384" s="14"/>
    </row>
    <row r="385" customFormat="false" ht="13.8" hidden="false" customHeight="false" outlineLevel="0" collapsed="false">
      <c r="B385" s="51"/>
      <c r="C385" s="14"/>
    </row>
    <row r="386" customFormat="false" ht="13.8" hidden="false" customHeight="false" outlineLevel="0" collapsed="false">
      <c r="B386" s="51"/>
      <c r="C386" s="14"/>
    </row>
    <row r="387" customFormat="false" ht="13.8" hidden="false" customHeight="false" outlineLevel="0" collapsed="false">
      <c r="B387" s="51"/>
      <c r="C387" s="14"/>
    </row>
    <row r="388" customFormat="false" ht="13.8" hidden="false" customHeight="false" outlineLevel="0" collapsed="false">
      <c r="B388" s="51"/>
      <c r="C388" s="14"/>
    </row>
    <row r="389" customFormat="false" ht="13.8" hidden="false" customHeight="false" outlineLevel="0" collapsed="false">
      <c r="B389" s="51"/>
      <c r="C389" s="14"/>
    </row>
    <row r="390" customFormat="false" ht="13.8" hidden="false" customHeight="false" outlineLevel="0" collapsed="false">
      <c r="B390" s="51"/>
      <c r="C390" s="14"/>
    </row>
    <row r="391" customFormat="false" ht="13.8" hidden="false" customHeight="false" outlineLevel="0" collapsed="false">
      <c r="B391" s="51"/>
      <c r="C391" s="14"/>
    </row>
    <row r="392" customFormat="false" ht="13.8" hidden="false" customHeight="false" outlineLevel="0" collapsed="false">
      <c r="B392" s="51"/>
      <c r="C392" s="14"/>
    </row>
    <row r="393" customFormat="false" ht="13.8" hidden="false" customHeight="false" outlineLevel="0" collapsed="false">
      <c r="B393" s="51"/>
      <c r="C393" s="14"/>
    </row>
    <row r="394" customFormat="false" ht="13.8" hidden="false" customHeight="false" outlineLevel="0" collapsed="false">
      <c r="B394" s="51"/>
      <c r="C394" s="14"/>
    </row>
    <row r="395" customFormat="false" ht="13.8" hidden="false" customHeight="false" outlineLevel="0" collapsed="false">
      <c r="B395" s="51"/>
      <c r="C395" s="14"/>
    </row>
    <row r="396" customFormat="false" ht="13.8" hidden="false" customHeight="false" outlineLevel="0" collapsed="false">
      <c r="B396" s="51"/>
      <c r="C396" s="14"/>
    </row>
    <row r="397" customFormat="false" ht="13.8" hidden="false" customHeight="false" outlineLevel="0" collapsed="false">
      <c r="B397" s="51"/>
      <c r="C397" s="14"/>
    </row>
    <row r="398" customFormat="false" ht="13.8" hidden="false" customHeight="false" outlineLevel="0" collapsed="false">
      <c r="B398" s="51"/>
      <c r="C398" s="14"/>
    </row>
    <row r="399" customFormat="false" ht="13.8" hidden="false" customHeight="false" outlineLevel="0" collapsed="false">
      <c r="B399" s="51"/>
      <c r="C399" s="14"/>
    </row>
    <row r="400" customFormat="false" ht="13.8" hidden="false" customHeight="false" outlineLevel="0" collapsed="false">
      <c r="B400" s="51"/>
      <c r="C400" s="14"/>
    </row>
    <row r="401" customFormat="false" ht="13.8" hidden="false" customHeight="false" outlineLevel="0" collapsed="false">
      <c r="B401" s="51"/>
      <c r="C401" s="14"/>
    </row>
    <row r="402" customFormat="false" ht="13.8" hidden="false" customHeight="false" outlineLevel="0" collapsed="false">
      <c r="B402" s="51"/>
      <c r="C402" s="14"/>
    </row>
    <row r="403" customFormat="false" ht="13.8" hidden="false" customHeight="false" outlineLevel="0" collapsed="false">
      <c r="B403" s="51"/>
      <c r="C403" s="14"/>
    </row>
    <row r="404" customFormat="false" ht="13.8" hidden="false" customHeight="false" outlineLevel="0" collapsed="false">
      <c r="B404" s="51"/>
      <c r="C404" s="14"/>
    </row>
    <row r="405" customFormat="false" ht="13.8" hidden="false" customHeight="false" outlineLevel="0" collapsed="false">
      <c r="B405" s="51"/>
      <c r="C405" s="14"/>
    </row>
    <row r="406" customFormat="false" ht="13.8" hidden="false" customHeight="false" outlineLevel="0" collapsed="false">
      <c r="B406" s="51"/>
      <c r="C406" s="14"/>
    </row>
    <row r="407" customFormat="false" ht="13.8" hidden="false" customHeight="false" outlineLevel="0" collapsed="false">
      <c r="B407" s="51"/>
      <c r="C407" s="14"/>
    </row>
    <row r="408" customFormat="false" ht="13.8" hidden="false" customHeight="false" outlineLevel="0" collapsed="false">
      <c r="B408" s="51"/>
      <c r="C408" s="14"/>
    </row>
    <row r="409" customFormat="false" ht="13.8" hidden="false" customHeight="false" outlineLevel="0" collapsed="false">
      <c r="B409" s="51"/>
      <c r="C409" s="14"/>
    </row>
    <row r="410" customFormat="false" ht="13.8" hidden="false" customHeight="false" outlineLevel="0" collapsed="false">
      <c r="B410" s="51"/>
      <c r="C410" s="14"/>
    </row>
    <row r="411" customFormat="false" ht="13.8" hidden="false" customHeight="false" outlineLevel="0" collapsed="false">
      <c r="B411" s="51"/>
      <c r="C411" s="14"/>
    </row>
    <row r="412" customFormat="false" ht="13.8" hidden="false" customHeight="false" outlineLevel="0" collapsed="false">
      <c r="B412" s="51"/>
      <c r="C412" s="14"/>
    </row>
    <row r="413" customFormat="false" ht="13.8" hidden="false" customHeight="false" outlineLevel="0" collapsed="false">
      <c r="B413" s="51"/>
      <c r="C413" s="14"/>
    </row>
    <row r="414" customFormat="false" ht="13.8" hidden="false" customHeight="false" outlineLevel="0" collapsed="false">
      <c r="B414" s="51"/>
      <c r="C414" s="14"/>
    </row>
    <row r="415" customFormat="false" ht="13.8" hidden="false" customHeight="false" outlineLevel="0" collapsed="false">
      <c r="B415" s="51"/>
      <c r="C415" s="14"/>
    </row>
    <row r="416" customFormat="false" ht="13.8" hidden="false" customHeight="false" outlineLevel="0" collapsed="false">
      <c r="B416" s="51"/>
      <c r="C416" s="14"/>
    </row>
    <row r="417" customFormat="false" ht="13.8" hidden="false" customHeight="false" outlineLevel="0" collapsed="false">
      <c r="B417" s="51"/>
      <c r="C417" s="14"/>
    </row>
    <row r="418" customFormat="false" ht="13.8" hidden="false" customHeight="false" outlineLevel="0" collapsed="false">
      <c r="B418" s="51"/>
      <c r="C418" s="14"/>
    </row>
    <row r="419" customFormat="false" ht="13.8" hidden="false" customHeight="false" outlineLevel="0" collapsed="false">
      <c r="B419" s="51"/>
      <c r="C419" s="14"/>
    </row>
    <row r="420" customFormat="false" ht="13.8" hidden="false" customHeight="false" outlineLevel="0" collapsed="false">
      <c r="B420" s="51"/>
      <c r="C420" s="14"/>
    </row>
    <row r="421" customFormat="false" ht="13.8" hidden="false" customHeight="false" outlineLevel="0" collapsed="false">
      <c r="B421" s="51"/>
      <c r="C421" s="14"/>
    </row>
    <row r="422" customFormat="false" ht="13.8" hidden="false" customHeight="false" outlineLevel="0" collapsed="false">
      <c r="B422" s="51"/>
      <c r="C422" s="14"/>
    </row>
    <row r="423" customFormat="false" ht="13.8" hidden="false" customHeight="false" outlineLevel="0" collapsed="false">
      <c r="B423" s="51"/>
      <c r="C423" s="14"/>
    </row>
    <row r="424" customFormat="false" ht="13.8" hidden="false" customHeight="false" outlineLevel="0" collapsed="false">
      <c r="B424" s="51"/>
      <c r="C424" s="14"/>
    </row>
    <row r="425" customFormat="false" ht="13.8" hidden="false" customHeight="false" outlineLevel="0" collapsed="false">
      <c r="B425" s="51"/>
      <c r="C425" s="14"/>
    </row>
    <row r="426" customFormat="false" ht="13.8" hidden="false" customHeight="false" outlineLevel="0" collapsed="false">
      <c r="B426" s="51"/>
      <c r="C426" s="14"/>
    </row>
    <row r="427" customFormat="false" ht="13.8" hidden="false" customHeight="false" outlineLevel="0" collapsed="false">
      <c r="B427" s="51"/>
      <c r="C427" s="14"/>
    </row>
    <row r="428" customFormat="false" ht="13.8" hidden="false" customHeight="false" outlineLevel="0" collapsed="false">
      <c r="B428" s="51"/>
      <c r="C428" s="14"/>
    </row>
    <row r="429" customFormat="false" ht="13.8" hidden="false" customHeight="false" outlineLevel="0" collapsed="false">
      <c r="B429" s="51"/>
      <c r="C429" s="14"/>
    </row>
    <row r="430" customFormat="false" ht="13.8" hidden="false" customHeight="false" outlineLevel="0" collapsed="false">
      <c r="B430" s="51"/>
      <c r="C430" s="14"/>
    </row>
    <row r="431" customFormat="false" ht="13.8" hidden="false" customHeight="false" outlineLevel="0" collapsed="false">
      <c r="B431" s="51"/>
      <c r="C431" s="14"/>
    </row>
    <row r="432" customFormat="false" ht="13.8" hidden="false" customHeight="false" outlineLevel="0" collapsed="false">
      <c r="B432" s="51"/>
      <c r="C432" s="14"/>
    </row>
    <row r="433" customFormat="false" ht="13.8" hidden="false" customHeight="false" outlineLevel="0" collapsed="false">
      <c r="B433" s="51"/>
      <c r="C433" s="14"/>
    </row>
    <row r="434" customFormat="false" ht="13.8" hidden="false" customHeight="false" outlineLevel="0" collapsed="false">
      <c r="B434" s="51"/>
      <c r="C434" s="14"/>
    </row>
    <row r="435" customFormat="false" ht="13.8" hidden="false" customHeight="false" outlineLevel="0" collapsed="false">
      <c r="B435" s="51"/>
      <c r="C435" s="14"/>
    </row>
    <row r="436" customFormat="false" ht="13.8" hidden="false" customHeight="false" outlineLevel="0" collapsed="false">
      <c r="B436" s="51"/>
      <c r="C436" s="14"/>
    </row>
    <row r="437" customFormat="false" ht="13.8" hidden="false" customHeight="false" outlineLevel="0" collapsed="false">
      <c r="B437" s="51"/>
      <c r="C437" s="14"/>
    </row>
    <row r="438" customFormat="false" ht="13.8" hidden="false" customHeight="false" outlineLevel="0" collapsed="false">
      <c r="B438" s="51"/>
      <c r="C438" s="14"/>
    </row>
    <row r="439" customFormat="false" ht="13.8" hidden="false" customHeight="false" outlineLevel="0" collapsed="false">
      <c r="B439" s="51"/>
      <c r="C439" s="14"/>
    </row>
    <row r="440" customFormat="false" ht="13.8" hidden="false" customHeight="false" outlineLevel="0" collapsed="false">
      <c r="B440" s="51"/>
      <c r="C440" s="14"/>
    </row>
    <row r="441" customFormat="false" ht="13.8" hidden="false" customHeight="false" outlineLevel="0" collapsed="false">
      <c r="B441" s="51"/>
      <c r="C441" s="14"/>
    </row>
    <row r="442" customFormat="false" ht="13.8" hidden="false" customHeight="false" outlineLevel="0" collapsed="false">
      <c r="B442" s="51"/>
      <c r="C442" s="14"/>
    </row>
    <row r="443" customFormat="false" ht="13.8" hidden="false" customHeight="false" outlineLevel="0" collapsed="false">
      <c r="B443" s="51"/>
      <c r="C443" s="14"/>
    </row>
    <row r="444" customFormat="false" ht="13.8" hidden="false" customHeight="false" outlineLevel="0" collapsed="false">
      <c r="B444" s="51"/>
      <c r="C444" s="14"/>
    </row>
    <row r="445" customFormat="false" ht="13.8" hidden="false" customHeight="false" outlineLevel="0" collapsed="false">
      <c r="B445" s="51"/>
      <c r="C445" s="14"/>
    </row>
    <row r="446" customFormat="false" ht="13.8" hidden="false" customHeight="false" outlineLevel="0" collapsed="false">
      <c r="B446" s="51"/>
      <c r="C446" s="14"/>
    </row>
    <row r="447" customFormat="false" ht="13.8" hidden="false" customHeight="false" outlineLevel="0" collapsed="false">
      <c r="B447" s="51"/>
      <c r="C447" s="14"/>
    </row>
    <row r="448" customFormat="false" ht="13.8" hidden="false" customHeight="false" outlineLevel="0" collapsed="false">
      <c r="B448" s="51"/>
      <c r="C448" s="14"/>
    </row>
    <row r="449" customFormat="false" ht="13.8" hidden="false" customHeight="false" outlineLevel="0" collapsed="false">
      <c r="B449" s="51"/>
      <c r="C449" s="14"/>
    </row>
    <row r="450" customFormat="false" ht="13.8" hidden="false" customHeight="false" outlineLevel="0" collapsed="false">
      <c r="B450" s="51"/>
      <c r="C450" s="14"/>
    </row>
    <row r="451" customFormat="false" ht="13.8" hidden="false" customHeight="false" outlineLevel="0" collapsed="false">
      <c r="B451" s="51"/>
      <c r="C451" s="14"/>
    </row>
    <row r="452" customFormat="false" ht="13.8" hidden="false" customHeight="false" outlineLevel="0" collapsed="false">
      <c r="B452" s="51"/>
      <c r="C452" s="14"/>
    </row>
    <row r="453" customFormat="false" ht="13.8" hidden="false" customHeight="false" outlineLevel="0" collapsed="false">
      <c r="B453" s="51"/>
      <c r="C453" s="14"/>
    </row>
    <row r="454" customFormat="false" ht="13.8" hidden="false" customHeight="false" outlineLevel="0" collapsed="false">
      <c r="B454" s="51"/>
      <c r="C454" s="14"/>
    </row>
    <row r="455" customFormat="false" ht="13.8" hidden="false" customHeight="false" outlineLevel="0" collapsed="false">
      <c r="B455" s="51"/>
      <c r="C455" s="14"/>
    </row>
    <row r="456" customFormat="false" ht="13.8" hidden="false" customHeight="false" outlineLevel="0" collapsed="false">
      <c r="B456" s="51"/>
      <c r="C456" s="14"/>
    </row>
    <row r="457" customFormat="false" ht="13.8" hidden="false" customHeight="false" outlineLevel="0" collapsed="false">
      <c r="B457" s="51"/>
      <c r="C457" s="14"/>
    </row>
    <row r="458" customFormat="false" ht="13.8" hidden="false" customHeight="false" outlineLevel="0" collapsed="false">
      <c r="B458" s="51"/>
      <c r="C458" s="14"/>
    </row>
    <row r="459" customFormat="false" ht="13.8" hidden="false" customHeight="false" outlineLevel="0" collapsed="false">
      <c r="B459" s="51"/>
      <c r="C459" s="14"/>
    </row>
    <row r="460" customFormat="false" ht="13.8" hidden="false" customHeight="false" outlineLevel="0" collapsed="false">
      <c r="B460" s="51"/>
      <c r="C460" s="14"/>
    </row>
    <row r="461" customFormat="false" ht="13.8" hidden="false" customHeight="false" outlineLevel="0" collapsed="false">
      <c r="B461" s="51"/>
      <c r="C461" s="14"/>
    </row>
    <row r="462" customFormat="false" ht="13.8" hidden="false" customHeight="false" outlineLevel="0" collapsed="false">
      <c r="B462" s="51"/>
      <c r="C462" s="14"/>
    </row>
    <row r="463" customFormat="false" ht="13.8" hidden="false" customHeight="false" outlineLevel="0" collapsed="false">
      <c r="B463" s="51"/>
      <c r="C463" s="14"/>
    </row>
    <row r="464" customFormat="false" ht="13.8" hidden="false" customHeight="false" outlineLevel="0" collapsed="false">
      <c r="B464" s="51"/>
      <c r="C464" s="14"/>
    </row>
    <row r="465" customFormat="false" ht="13.8" hidden="false" customHeight="false" outlineLevel="0" collapsed="false">
      <c r="B465" s="51"/>
      <c r="C465" s="14"/>
    </row>
    <row r="466" customFormat="false" ht="13.8" hidden="false" customHeight="false" outlineLevel="0" collapsed="false">
      <c r="B466" s="51"/>
      <c r="C466" s="14"/>
    </row>
    <row r="467" customFormat="false" ht="13.8" hidden="false" customHeight="false" outlineLevel="0" collapsed="false">
      <c r="B467" s="51"/>
      <c r="C467" s="14"/>
    </row>
    <row r="468" customFormat="false" ht="13.8" hidden="false" customHeight="false" outlineLevel="0" collapsed="false">
      <c r="B468" s="51"/>
      <c r="C468" s="14"/>
    </row>
    <row r="469" customFormat="false" ht="13.8" hidden="false" customHeight="false" outlineLevel="0" collapsed="false">
      <c r="B469" s="51"/>
      <c r="C469" s="14"/>
    </row>
    <row r="470" customFormat="false" ht="13.8" hidden="false" customHeight="false" outlineLevel="0" collapsed="false">
      <c r="B470" s="51"/>
      <c r="C470" s="14"/>
    </row>
    <row r="471" customFormat="false" ht="13.8" hidden="false" customHeight="false" outlineLevel="0" collapsed="false">
      <c r="B471" s="51"/>
      <c r="C471" s="14"/>
    </row>
    <row r="472" customFormat="false" ht="13.8" hidden="false" customHeight="false" outlineLevel="0" collapsed="false">
      <c r="B472" s="51"/>
      <c r="C472" s="14"/>
    </row>
    <row r="473" customFormat="false" ht="13.8" hidden="false" customHeight="false" outlineLevel="0" collapsed="false">
      <c r="B473" s="51"/>
      <c r="C473" s="14"/>
    </row>
    <row r="474" customFormat="false" ht="13.8" hidden="false" customHeight="false" outlineLevel="0" collapsed="false">
      <c r="B474" s="51"/>
      <c r="C474" s="14"/>
    </row>
    <row r="475" customFormat="false" ht="13.8" hidden="false" customHeight="false" outlineLevel="0" collapsed="false">
      <c r="B475" s="51"/>
      <c r="C475" s="14"/>
    </row>
    <row r="476" customFormat="false" ht="13.8" hidden="false" customHeight="false" outlineLevel="0" collapsed="false">
      <c r="B476" s="51"/>
      <c r="C476" s="14"/>
    </row>
    <row r="477" customFormat="false" ht="13.8" hidden="false" customHeight="false" outlineLevel="0" collapsed="false">
      <c r="B477" s="51"/>
      <c r="C477" s="14"/>
    </row>
    <row r="478" customFormat="false" ht="13.8" hidden="false" customHeight="false" outlineLevel="0" collapsed="false">
      <c r="B478" s="51"/>
      <c r="C478" s="14"/>
    </row>
    <row r="479" customFormat="false" ht="13.8" hidden="false" customHeight="false" outlineLevel="0" collapsed="false">
      <c r="B479" s="51"/>
      <c r="C479" s="14"/>
    </row>
    <row r="480" customFormat="false" ht="13.8" hidden="false" customHeight="false" outlineLevel="0" collapsed="false">
      <c r="B480" s="51"/>
      <c r="C480" s="14"/>
    </row>
    <row r="481" customFormat="false" ht="13.8" hidden="false" customHeight="false" outlineLevel="0" collapsed="false">
      <c r="B481" s="51"/>
      <c r="C481" s="14"/>
    </row>
    <row r="482" customFormat="false" ht="13.8" hidden="false" customHeight="false" outlineLevel="0" collapsed="false">
      <c r="B482" s="51"/>
      <c r="C482" s="14"/>
    </row>
    <row r="483" customFormat="false" ht="13.8" hidden="false" customHeight="false" outlineLevel="0" collapsed="false">
      <c r="B483" s="51"/>
      <c r="C483" s="14"/>
    </row>
    <row r="484" customFormat="false" ht="13.8" hidden="false" customHeight="false" outlineLevel="0" collapsed="false">
      <c r="B484" s="51"/>
      <c r="C484" s="14"/>
    </row>
    <row r="485" customFormat="false" ht="13.8" hidden="false" customHeight="false" outlineLevel="0" collapsed="false">
      <c r="B485" s="51"/>
      <c r="C485" s="14"/>
    </row>
    <row r="486" customFormat="false" ht="13.8" hidden="false" customHeight="false" outlineLevel="0" collapsed="false">
      <c r="B486" s="51"/>
      <c r="C486" s="14"/>
    </row>
    <row r="487" customFormat="false" ht="13.8" hidden="false" customHeight="false" outlineLevel="0" collapsed="false">
      <c r="B487" s="51"/>
      <c r="C487" s="14"/>
    </row>
    <row r="488" customFormat="false" ht="13.8" hidden="false" customHeight="false" outlineLevel="0" collapsed="false">
      <c r="B488" s="51"/>
      <c r="C488" s="14"/>
    </row>
    <row r="489" customFormat="false" ht="13.8" hidden="false" customHeight="false" outlineLevel="0" collapsed="false">
      <c r="B489" s="51"/>
      <c r="C489" s="14"/>
    </row>
    <row r="490" customFormat="false" ht="13.8" hidden="false" customHeight="false" outlineLevel="0" collapsed="false">
      <c r="B490" s="51"/>
      <c r="C490" s="14"/>
    </row>
    <row r="491" customFormat="false" ht="13.8" hidden="false" customHeight="false" outlineLevel="0" collapsed="false">
      <c r="B491" s="51"/>
      <c r="C491" s="14"/>
    </row>
    <row r="492" customFormat="false" ht="13.8" hidden="false" customHeight="false" outlineLevel="0" collapsed="false">
      <c r="B492" s="51"/>
      <c r="C492" s="14"/>
    </row>
    <row r="493" customFormat="false" ht="13.8" hidden="false" customHeight="false" outlineLevel="0" collapsed="false">
      <c r="B493" s="51"/>
      <c r="C493" s="14"/>
    </row>
    <row r="494" customFormat="false" ht="13.8" hidden="false" customHeight="false" outlineLevel="0" collapsed="false">
      <c r="B494" s="51"/>
      <c r="C494" s="14"/>
    </row>
    <row r="495" customFormat="false" ht="13.8" hidden="false" customHeight="false" outlineLevel="0" collapsed="false">
      <c r="B495" s="51"/>
      <c r="C495" s="14"/>
    </row>
    <row r="496" customFormat="false" ht="13.8" hidden="false" customHeight="false" outlineLevel="0" collapsed="false">
      <c r="B496" s="51"/>
      <c r="C496" s="14"/>
    </row>
    <row r="497" customFormat="false" ht="13.8" hidden="false" customHeight="false" outlineLevel="0" collapsed="false">
      <c r="B497" s="51"/>
      <c r="C497" s="14"/>
    </row>
    <row r="498" customFormat="false" ht="13.8" hidden="false" customHeight="false" outlineLevel="0" collapsed="false">
      <c r="B498" s="51"/>
      <c r="C498" s="14"/>
    </row>
    <row r="499" customFormat="false" ht="13.8" hidden="false" customHeight="false" outlineLevel="0" collapsed="false">
      <c r="B499" s="51"/>
      <c r="C499" s="14"/>
    </row>
    <row r="500" customFormat="false" ht="13.8" hidden="false" customHeight="false" outlineLevel="0" collapsed="false">
      <c r="B500" s="51"/>
      <c r="C500" s="14"/>
    </row>
    <row r="501" customFormat="false" ht="13.8" hidden="false" customHeight="false" outlineLevel="0" collapsed="false">
      <c r="B501" s="51"/>
      <c r="C501" s="14"/>
    </row>
    <row r="502" customFormat="false" ht="13.8" hidden="false" customHeight="false" outlineLevel="0" collapsed="false">
      <c r="B502" s="51"/>
      <c r="C502" s="14"/>
    </row>
    <row r="503" customFormat="false" ht="13.8" hidden="false" customHeight="false" outlineLevel="0" collapsed="false">
      <c r="B503" s="51"/>
      <c r="C503" s="14"/>
    </row>
    <row r="504" customFormat="false" ht="13.8" hidden="false" customHeight="false" outlineLevel="0" collapsed="false">
      <c r="B504" s="51"/>
      <c r="C504" s="14"/>
    </row>
    <row r="505" customFormat="false" ht="13.8" hidden="false" customHeight="false" outlineLevel="0" collapsed="false">
      <c r="B505" s="51"/>
      <c r="C505" s="14"/>
    </row>
    <row r="506" customFormat="false" ht="13.8" hidden="false" customHeight="false" outlineLevel="0" collapsed="false">
      <c r="B506" s="51"/>
      <c r="C506" s="14"/>
    </row>
    <row r="507" customFormat="false" ht="13.8" hidden="false" customHeight="false" outlineLevel="0" collapsed="false">
      <c r="B507" s="51"/>
      <c r="C507" s="14"/>
    </row>
    <row r="508" customFormat="false" ht="13.8" hidden="false" customHeight="false" outlineLevel="0" collapsed="false">
      <c r="B508" s="51"/>
      <c r="C508" s="14"/>
    </row>
    <row r="509" customFormat="false" ht="13.8" hidden="false" customHeight="false" outlineLevel="0" collapsed="false">
      <c r="B509" s="51"/>
      <c r="C509" s="14"/>
    </row>
    <row r="510" customFormat="false" ht="13.8" hidden="false" customHeight="false" outlineLevel="0" collapsed="false">
      <c r="B510" s="51"/>
      <c r="C510" s="14"/>
    </row>
    <row r="511" customFormat="false" ht="13.8" hidden="false" customHeight="false" outlineLevel="0" collapsed="false">
      <c r="B511" s="51"/>
      <c r="C511" s="14"/>
    </row>
    <row r="512" customFormat="false" ht="13.8" hidden="false" customHeight="false" outlineLevel="0" collapsed="false">
      <c r="B512" s="51"/>
      <c r="C512" s="14"/>
    </row>
    <row r="513" customFormat="false" ht="13.8" hidden="false" customHeight="false" outlineLevel="0" collapsed="false">
      <c r="B513" s="51"/>
      <c r="C513" s="14"/>
    </row>
    <row r="514" customFormat="false" ht="13.8" hidden="false" customHeight="false" outlineLevel="0" collapsed="false">
      <c r="B514" s="51"/>
      <c r="C514" s="14"/>
    </row>
    <row r="515" customFormat="false" ht="13.8" hidden="false" customHeight="false" outlineLevel="0" collapsed="false">
      <c r="B515" s="51"/>
      <c r="C515" s="14"/>
    </row>
    <row r="516" customFormat="false" ht="13.8" hidden="false" customHeight="false" outlineLevel="0" collapsed="false">
      <c r="B516" s="51"/>
      <c r="C516" s="14"/>
    </row>
    <row r="517" customFormat="false" ht="13.8" hidden="false" customHeight="false" outlineLevel="0" collapsed="false">
      <c r="B517" s="51"/>
      <c r="C517" s="14"/>
    </row>
    <row r="518" customFormat="false" ht="13.8" hidden="false" customHeight="false" outlineLevel="0" collapsed="false">
      <c r="B518" s="51"/>
      <c r="C518" s="14"/>
    </row>
    <row r="519" customFormat="false" ht="13.8" hidden="false" customHeight="false" outlineLevel="0" collapsed="false">
      <c r="B519" s="51"/>
      <c r="C519" s="14"/>
    </row>
    <row r="520" customFormat="false" ht="13.8" hidden="false" customHeight="false" outlineLevel="0" collapsed="false">
      <c r="B520" s="51"/>
      <c r="C520" s="14"/>
    </row>
    <row r="521" customFormat="false" ht="13.8" hidden="false" customHeight="false" outlineLevel="0" collapsed="false">
      <c r="B521" s="51"/>
      <c r="C521" s="14"/>
    </row>
    <row r="522" customFormat="false" ht="13.8" hidden="false" customHeight="false" outlineLevel="0" collapsed="false">
      <c r="B522" s="51"/>
      <c r="C522" s="14"/>
    </row>
    <row r="523" customFormat="false" ht="13.8" hidden="false" customHeight="false" outlineLevel="0" collapsed="false">
      <c r="B523" s="51"/>
      <c r="C523" s="14"/>
    </row>
    <row r="524" customFormat="false" ht="13.8" hidden="false" customHeight="false" outlineLevel="0" collapsed="false">
      <c r="B524" s="51"/>
      <c r="C524" s="14"/>
    </row>
    <row r="525" customFormat="false" ht="13.8" hidden="false" customHeight="false" outlineLevel="0" collapsed="false">
      <c r="B525" s="51"/>
      <c r="C525" s="14"/>
    </row>
    <row r="526" customFormat="false" ht="13.8" hidden="false" customHeight="false" outlineLevel="0" collapsed="false">
      <c r="B526" s="51"/>
      <c r="C526" s="14"/>
    </row>
    <row r="527" customFormat="false" ht="13.8" hidden="false" customHeight="false" outlineLevel="0" collapsed="false">
      <c r="B527" s="51"/>
      <c r="C527" s="14"/>
    </row>
    <row r="528" customFormat="false" ht="13.8" hidden="false" customHeight="false" outlineLevel="0" collapsed="false">
      <c r="B528" s="51"/>
      <c r="C528" s="14"/>
    </row>
    <row r="529" customFormat="false" ht="13.8" hidden="false" customHeight="false" outlineLevel="0" collapsed="false">
      <c r="B529" s="51"/>
      <c r="C529" s="14"/>
    </row>
    <row r="530" customFormat="false" ht="13.8" hidden="false" customHeight="false" outlineLevel="0" collapsed="false">
      <c r="B530" s="51"/>
      <c r="C530" s="14"/>
    </row>
    <row r="531" customFormat="false" ht="13.8" hidden="false" customHeight="false" outlineLevel="0" collapsed="false">
      <c r="B531" s="51"/>
      <c r="C531" s="14"/>
    </row>
    <row r="532" customFormat="false" ht="13.8" hidden="false" customHeight="false" outlineLevel="0" collapsed="false">
      <c r="B532" s="51"/>
      <c r="C532" s="14"/>
    </row>
    <row r="533" customFormat="false" ht="13.8" hidden="false" customHeight="false" outlineLevel="0" collapsed="false">
      <c r="B533" s="51"/>
      <c r="C533" s="14"/>
    </row>
    <row r="534" customFormat="false" ht="13.8" hidden="false" customHeight="false" outlineLevel="0" collapsed="false">
      <c r="B534" s="51"/>
      <c r="C534" s="14"/>
    </row>
    <row r="535" customFormat="false" ht="13.8" hidden="false" customHeight="false" outlineLevel="0" collapsed="false">
      <c r="B535" s="51"/>
      <c r="C535" s="14"/>
    </row>
    <row r="536" customFormat="false" ht="13.8" hidden="false" customHeight="false" outlineLevel="0" collapsed="false">
      <c r="B536" s="51"/>
      <c r="C536" s="14"/>
    </row>
    <row r="537" customFormat="false" ht="13.8" hidden="false" customHeight="false" outlineLevel="0" collapsed="false">
      <c r="B537" s="51"/>
      <c r="C537" s="14"/>
    </row>
    <row r="538" customFormat="false" ht="13.8" hidden="false" customHeight="false" outlineLevel="0" collapsed="false">
      <c r="B538" s="51"/>
      <c r="C538" s="14"/>
    </row>
    <row r="539" customFormat="false" ht="13.8" hidden="false" customHeight="false" outlineLevel="0" collapsed="false">
      <c r="B539" s="51"/>
      <c r="C539" s="14"/>
    </row>
    <row r="540" customFormat="false" ht="13.8" hidden="false" customHeight="false" outlineLevel="0" collapsed="false">
      <c r="B540" s="51"/>
      <c r="C540" s="14"/>
    </row>
    <row r="541" customFormat="false" ht="13.8" hidden="false" customHeight="false" outlineLevel="0" collapsed="false">
      <c r="B541" s="51"/>
      <c r="C541" s="14"/>
    </row>
    <row r="542" customFormat="false" ht="13.8" hidden="false" customHeight="false" outlineLevel="0" collapsed="false">
      <c r="B542" s="51"/>
      <c r="C542" s="14"/>
    </row>
    <row r="543" customFormat="false" ht="13.8" hidden="false" customHeight="false" outlineLevel="0" collapsed="false">
      <c r="B543" s="51"/>
      <c r="C543" s="14"/>
    </row>
    <row r="544" customFormat="false" ht="13.8" hidden="false" customHeight="false" outlineLevel="0" collapsed="false">
      <c r="B544" s="51"/>
      <c r="C544" s="14"/>
    </row>
    <row r="545" customFormat="false" ht="13.8" hidden="false" customHeight="false" outlineLevel="0" collapsed="false">
      <c r="B545" s="51"/>
      <c r="C545" s="14"/>
    </row>
    <row r="546" customFormat="false" ht="13.8" hidden="false" customHeight="false" outlineLevel="0" collapsed="false">
      <c r="B546" s="51"/>
      <c r="C546" s="14"/>
    </row>
    <row r="547" customFormat="false" ht="13.8" hidden="false" customHeight="false" outlineLevel="0" collapsed="false">
      <c r="B547" s="51"/>
      <c r="C547" s="14"/>
    </row>
    <row r="548" customFormat="false" ht="13.8" hidden="false" customHeight="false" outlineLevel="0" collapsed="false">
      <c r="B548" s="51"/>
      <c r="C548" s="14"/>
    </row>
    <row r="549" customFormat="false" ht="13.8" hidden="false" customHeight="false" outlineLevel="0" collapsed="false">
      <c r="B549" s="51"/>
      <c r="C549" s="14"/>
    </row>
    <row r="550" customFormat="false" ht="13.8" hidden="false" customHeight="false" outlineLevel="0" collapsed="false">
      <c r="B550" s="51"/>
      <c r="C550" s="14"/>
    </row>
    <row r="551" customFormat="false" ht="13.8" hidden="false" customHeight="false" outlineLevel="0" collapsed="false">
      <c r="B551" s="51"/>
      <c r="C551" s="14"/>
    </row>
    <row r="552" customFormat="false" ht="13.8" hidden="false" customHeight="false" outlineLevel="0" collapsed="false">
      <c r="B552" s="51"/>
      <c r="C552" s="14"/>
    </row>
    <row r="553" customFormat="false" ht="13.8" hidden="false" customHeight="false" outlineLevel="0" collapsed="false">
      <c r="B553" s="51"/>
      <c r="C553" s="14"/>
    </row>
    <row r="554" customFormat="false" ht="13.8" hidden="false" customHeight="false" outlineLevel="0" collapsed="false">
      <c r="B554" s="51"/>
      <c r="C554" s="14"/>
    </row>
    <row r="555" customFormat="false" ht="13.8" hidden="false" customHeight="false" outlineLevel="0" collapsed="false">
      <c r="B555" s="51"/>
      <c r="C555" s="14"/>
    </row>
    <row r="556" customFormat="false" ht="13.8" hidden="false" customHeight="false" outlineLevel="0" collapsed="false">
      <c r="B556" s="51"/>
      <c r="C556" s="14"/>
    </row>
    <row r="557" customFormat="false" ht="13.8" hidden="false" customHeight="false" outlineLevel="0" collapsed="false">
      <c r="B557" s="51"/>
      <c r="C557" s="14"/>
    </row>
    <row r="558" customFormat="false" ht="13.8" hidden="false" customHeight="false" outlineLevel="0" collapsed="false">
      <c r="B558" s="51"/>
      <c r="C558" s="14"/>
    </row>
    <row r="559" customFormat="false" ht="13.8" hidden="false" customHeight="false" outlineLevel="0" collapsed="false">
      <c r="B559" s="51"/>
      <c r="C559" s="14"/>
    </row>
    <row r="560" customFormat="false" ht="13.8" hidden="false" customHeight="false" outlineLevel="0" collapsed="false">
      <c r="B560" s="51"/>
      <c r="C560" s="14"/>
    </row>
    <row r="561" customFormat="false" ht="13.8" hidden="false" customHeight="false" outlineLevel="0" collapsed="false">
      <c r="B561" s="51"/>
      <c r="C561" s="14"/>
    </row>
    <row r="562" customFormat="false" ht="13.8" hidden="false" customHeight="false" outlineLevel="0" collapsed="false">
      <c r="B562" s="51"/>
      <c r="C562" s="14"/>
    </row>
    <row r="563" customFormat="false" ht="13.8" hidden="false" customHeight="false" outlineLevel="0" collapsed="false">
      <c r="B563" s="51"/>
      <c r="C563" s="14"/>
    </row>
    <row r="564" customFormat="false" ht="13.8" hidden="false" customHeight="false" outlineLevel="0" collapsed="false">
      <c r="B564" s="51"/>
      <c r="C564" s="14"/>
    </row>
    <row r="565" customFormat="false" ht="13.8" hidden="false" customHeight="false" outlineLevel="0" collapsed="false">
      <c r="B565" s="51"/>
      <c r="C565" s="14"/>
    </row>
    <row r="566" customFormat="false" ht="13.8" hidden="false" customHeight="false" outlineLevel="0" collapsed="false">
      <c r="B566" s="51"/>
      <c r="C566" s="14"/>
    </row>
    <row r="567" customFormat="false" ht="13.8" hidden="false" customHeight="false" outlineLevel="0" collapsed="false">
      <c r="B567" s="51"/>
      <c r="C567" s="14"/>
    </row>
    <row r="568" customFormat="false" ht="13.8" hidden="false" customHeight="false" outlineLevel="0" collapsed="false">
      <c r="B568" s="51"/>
      <c r="C568" s="14"/>
    </row>
    <row r="569" customFormat="false" ht="13.8" hidden="false" customHeight="false" outlineLevel="0" collapsed="false">
      <c r="B569" s="51"/>
      <c r="C569" s="14"/>
    </row>
    <row r="570" customFormat="false" ht="13.8" hidden="false" customHeight="false" outlineLevel="0" collapsed="false">
      <c r="B570" s="51"/>
      <c r="C570" s="14"/>
    </row>
    <row r="571" customFormat="false" ht="13.8" hidden="false" customHeight="false" outlineLevel="0" collapsed="false">
      <c r="B571" s="51"/>
      <c r="C571" s="14"/>
    </row>
    <row r="572" customFormat="false" ht="13.8" hidden="false" customHeight="false" outlineLevel="0" collapsed="false">
      <c r="B572" s="51"/>
      <c r="C572" s="14"/>
    </row>
    <row r="573" customFormat="false" ht="13.8" hidden="false" customHeight="false" outlineLevel="0" collapsed="false">
      <c r="B573" s="51"/>
      <c r="C573" s="14"/>
    </row>
    <row r="574" customFormat="false" ht="13.8" hidden="false" customHeight="false" outlineLevel="0" collapsed="false">
      <c r="B574" s="51"/>
      <c r="C574" s="14"/>
    </row>
    <row r="575" customFormat="false" ht="13.8" hidden="false" customHeight="false" outlineLevel="0" collapsed="false">
      <c r="B575" s="51"/>
      <c r="C575" s="14"/>
    </row>
    <row r="576" customFormat="false" ht="13.8" hidden="false" customHeight="false" outlineLevel="0" collapsed="false">
      <c r="B576" s="51"/>
      <c r="C576" s="14"/>
    </row>
    <row r="577" customFormat="false" ht="13.8" hidden="false" customHeight="false" outlineLevel="0" collapsed="false">
      <c r="B577" s="51"/>
      <c r="C577" s="14"/>
    </row>
    <row r="578" customFormat="false" ht="13.8" hidden="false" customHeight="false" outlineLevel="0" collapsed="false">
      <c r="B578" s="51"/>
      <c r="C578" s="14"/>
    </row>
    <row r="579" customFormat="false" ht="13.8" hidden="false" customHeight="false" outlineLevel="0" collapsed="false">
      <c r="B579" s="51"/>
      <c r="C579" s="14"/>
    </row>
    <row r="580" customFormat="false" ht="13.8" hidden="false" customHeight="false" outlineLevel="0" collapsed="false">
      <c r="B580" s="51"/>
      <c r="C580" s="14"/>
    </row>
    <row r="581" customFormat="false" ht="13.8" hidden="false" customHeight="false" outlineLevel="0" collapsed="false">
      <c r="B581" s="51"/>
      <c r="C581" s="14"/>
    </row>
    <row r="582" customFormat="false" ht="13.8" hidden="false" customHeight="false" outlineLevel="0" collapsed="false">
      <c r="B582" s="51"/>
      <c r="C582" s="14"/>
    </row>
    <row r="583" customFormat="false" ht="13.8" hidden="false" customHeight="false" outlineLevel="0" collapsed="false">
      <c r="B583" s="51"/>
      <c r="C583" s="14"/>
    </row>
    <row r="584" customFormat="false" ht="13.8" hidden="false" customHeight="false" outlineLevel="0" collapsed="false">
      <c r="B584" s="51"/>
      <c r="C584" s="14"/>
    </row>
    <row r="585" customFormat="false" ht="13.8" hidden="false" customHeight="false" outlineLevel="0" collapsed="false">
      <c r="B585" s="51"/>
      <c r="C585" s="14"/>
    </row>
    <row r="586" customFormat="false" ht="13.8" hidden="false" customHeight="false" outlineLevel="0" collapsed="false">
      <c r="B586" s="51"/>
      <c r="C586" s="14"/>
    </row>
    <row r="587" customFormat="false" ht="13.8" hidden="false" customHeight="false" outlineLevel="0" collapsed="false">
      <c r="B587" s="51"/>
      <c r="C587" s="14"/>
    </row>
    <row r="588" customFormat="false" ht="13.8" hidden="false" customHeight="false" outlineLevel="0" collapsed="false">
      <c r="B588" s="51"/>
      <c r="C588" s="14"/>
    </row>
    <row r="589" customFormat="false" ht="13.8" hidden="false" customHeight="false" outlineLevel="0" collapsed="false">
      <c r="B589" s="51"/>
      <c r="C589" s="14"/>
    </row>
    <row r="590" customFormat="false" ht="13.8" hidden="false" customHeight="false" outlineLevel="0" collapsed="false">
      <c r="B590" s="51"/>
      <c r="C590" s="14"/>
    </row>
    <row r="591" customFormat="false" ht="13.8" hidden="false" customHeight="false" outlineLevel="0" collapsed="false">
      <c r="B591" s="51"/>
      <c r="C591" s="14"/>
    </row>
    <row r="592" customFormat="false" ht="13.8" hidden="false" customHeight="false" outlineLevel="0" collapsed="false">
      <c r="B592" s="51"/>
      <c r="C592" s="14"/>
    </row>
    <row r="593" customFormat="false" ht="13.8" hidden="false" customHeight="false" outlineLevel="0" collapsed="false">
      <c r="B593" s="51"/>
      <c r="C593" s="14"/>
    </row>
    <row r="594" customFormat="false" ht="13.8" hidden="false" customHeight="false" outlineLevel="0" collapsed="false">
      <c r="B594" s="51"/>
      <c r="C594" s="14"/>
    </row>
    <row r="595" customFormat="false" ht="13.8" hidden="false" customHeight="false" outlineLevel="0" collapsed="false">
      <c r="B595" s="51"/>
      <c r="C595" s="14"/>
    </row>
    <row r="596" customFormat="false" ht="13.8" hidden="false" customHeight="false" outlineLevel="0" collapsed="false">
      <c r="B596" s="51"/>
      <c r="C596" s="14"/>
    </row>
    <row r="597" customFormat="false" ht="13.8" hidden="false" customHeight="false" outlineLevel="0" collapsed="false">
      <c r="B597" s="51"/>
      <c r="C597" s="14"/>
    </row>
    <row r="598" customFormat="false" ht="13.8" hidden="false" customHeight="false" outlineLevel="0" collapsed="false">
      <c r="B598" s="51"/>
      <c r="C598" s="14"/>
    </row>
    <row r="599" customFormat="false" ht="13.8" hidden="false" customHeight="false" outlineLevel="0" collapsed="false">
      <c r="B599" s="51"/>
      <c r="C599" s="14"/>
    </row>
    <row r="600" customFormat="false" ht="13.8" hidden="false" customHeight="false" outlineLevel="0" collapsed="false">
      <c r="B600" s="51"/>
      <c r="C600" s="14"/>
    </row>
    <row r="601" customFormat="false" ht="13.8" hidden="false" customHeight="false" outlineLevel="0" collapsed="false">
      <c r="B601" s="51"/>
      <c r="C601" s="14"/>
    </row>
    <row r="602" customFormat="false" ht="13.8" hidden="false" customHeight="false" outlineLevel="0" collapsed="false">
      <c r="B602" s="51"/>
      <c r="C602" s="14"/>
    </row>
    <row r="603" customFormat="false" ht="13.8" hidden="false" customHeight="false" outlineLevel="0" collapsed="false">
      <c r="B603" s="51"/>
      <c r="C603" s="14"/>
    </row>
    <row r="604" customFormat="false" ht="13.8" hidden="false" customHeight="false" outlineLevel="0" collapsed="false">
      <c r="B604" s="51"/>
      <c r="C604" s="14"/>
    </row>
    <row r="605" customFormat="false" ht="13.8" hidden="false" customHeight="false" outlineLevel="0" collapsed="false">
      <c r="B605" s="51"/>
      <c r="C605" s="14"/>
    </row>
    <row r="606" customFormat="false" ht="13.8" hidden="false" customHeight="false" outlineLevel="0" collapsed="false">
      <c r="B606" s="51"/>
      <c r="C606" s="14"/>
    </row>
    <row r="607" customFormat="false" ht="13.8" hidden="false" customHeight="false" outlineLevel="0" collapsed="false">
      <c r="B607" s="51"/>
      <c r="C607" s="14"/>
    </row>
    <row r="608" customFormat="false" ht="13.8" hidden="false" customHeight="false" outlineLevel="0" collapsed="false">
      <c r="B608" s="51"/>
      <c r="C608" s="14"/>
    </row>
    <row r="609" customFormat="false" ht="13.8" hidden="false" customHeight="false" outlineLevel="0" collapsed="false">
      <c r="B609" s="51"/>
      <c r="C609" s="14"/>
    </row>
    <row r="610" customFormat="false" ht="13.8" hidden="false" customHeight="false" outlineLevel="0" collapsed="false">
      <c r="B610" s="51"/>
      <c r="C610" s="14"/>
    </row>
    <row r="611" customFormat="false" ht="13.8" hidden="false" customHeight="false" outlineLevel="0" collapsed="false">
      <c r="B611" s="51"/>
      <c r="C611" s="14"/>
    </row>
    <row r="612" customFormat="false" ht="13.8" hidden="false" customHeight="false" outlineLevel="0" collapsed="false">
      <c r="B612" s="51"/>
      <c r="C612" s="14"/>
    </row>
    <row r="613" customFormat="false" ht="13.8" hidden="false" customHeight="false" outlineLevel="0" collapsed="false">
      <c r="B613" s="51"/>
      <c r="C613" s="14"/>
    </row>
    <row r="614" customFormat="false" ht="13.8" hidden="false" customHeight="false" outlineLevel="0" collapsed="false">
      <c r="B614" s="51"/>
      <c r="C614" s="14"/>
    </row>
    <row r="615" customFormat="false" ht="13.8" hidden="false" customHeight="false" outlineLevel="0" collapsed="false">
      <c r="B615" s="51"/>
      <c r="C615" s="14"/>
    </row>
    <row r="616" customFormat="false" ht="13.8" hidden="false" customHeight="false" outlineLevel="0" collapsed="false">
      <c r="B616" s="51"/>
      <c r="C616" s="14"/>
    </row>
    <row r="617" customFormat="false" ht="13.8" hidden="false" customHeight="false" outlineLevel="0" collapsed="false">
      <c r="B617" s="51"/>
      <c r="C617" s="14"/>
    </row>
    <row r="618" customFormat="false" ht="13.8" hidden="false" customHeight="false" outlineLevel="0" collapsed="false">
      <c r="B618" s="51"/>
      <c r="C618" s="14"/>
    </row>
    <row r="619" customFormat="false" ht="13.8" hidden="false" customHeight="false" outlineLevel="0" collapsed="false">
      <c r="B619" s="51"/>
      <c r="C619" s="14"/>
    </row>
    <row r="620" customFormat="false" ht="13.8" hidden="false" customHeight="false" outlineLevel="0" collapsed="false">
      <c r="B620" s="51"/>
      <c r="C620" s="14"/>
    </row>
    <row r="621" customFormat="false" ht="13.8" hidden="false" customHeight="false" outlineLevel="0" collapsed="false">
      <c r="B621" s="51"/>
      <c r="C621" s="14"/>
    </row>
    <row r="622" customFormat="false" ht="13.8" hidden="false" customHeight="false" outlineLevel="0" collapsed="false">
      <c r="B622" s="51"/>
      <c r="C622" s="14"/>
    </row>
    <row r="623" customFormat="false" ht="13.8" hidden="false" customHeight="false" outlineLevel="0" collapsed="false">
      <c r="B623" s="51"/>
      <c r="C623" s="14"/>
    </row>
    <row r="624" customFormat="false" ht="13.8" hidden="false" customHeight="false" outlineLevel="0" collapsed="false">
      <c r="B624" s="51"/>
      <c r="C624" s="14"/>
    </row>
    <row r="625" customFormat="false" ht="13.8" hidden="false" customHeight="false" outlineLevel="0" collapsed="false">
      <c r="B625" s="51"/>
      <c r="C625" s="14"/>
    </row>
    <row r="626" customFormat="false" ht="13.8" hidden="false" customHeight="false" outlineLevel="0" collapsed="false">
      <c r="B626" s="51"/>
      <c r="C626" s="14"/>
    </row>
    <row r="627" customFormat="false" ht="13.8" hidden="false" customHeight="false" outlineLevel="0" collapsed="false">
      <c r="B627" s="51"/>
      <c r="C627" s="14"/>
    </row>
    <row r="628" customFormat="false" ht="13.8" hidden="false" customHeight="false" outlineLevel="0" collapsed="false">
      <c r="B628" s="51"/>
      <c r="C628" s="14"/>
    </row>
    <row r="629" customFormat="false" ht="13.8" hidden="false" customHeight="false" outlineLevel="0" collapsed="false">
      <c r="B629" s="51"/>
      <c r="C629" s="14"/>
    </row>
    <row r="630" customFormat="false" ht="13.8" hidden="false" customHeight="false" outlineLevel="0" collapsed="false">
      <c r="B630" s="51"/>
      <c r="C630" s="14"/>
    </row>
    <row r="631" customFormat="false" ht="13.8" hidden="false" customHeight="false" outlineLevel="0" collapsed="false">
      <c r="B631" s="51"/>
      <c r="C631" s="14"/>
    </row>
    <row r="632" customFormat="false" ht="13.8" hidden="false" customHeight="false" outlineLevel="0" collapsed="false">
      <c r="B632" s="51"/>
      <c r="C632" s="14"/>
    </row>
    <row r="633" customFormat="false" ht="13.8" hidden="false" customHeight="false" outlineLevel="0" collapsed="false">
      <c r="B633" s="51"/>
      <c r="C633" s="14"/>
    </row>
    <row r="634" customFormat="false" ht="13.8" hidden="false" customHeight="false" outlineLevel="0" collapsed="false">
      <c r="B634" s="51"/>
      <c r="C634" s="14"/>
    </row>
    <row r="635" customFormat="false" ht="13.8" hidden="false" customHeight="false" outlineLevel="0" collapsed="false">
      <c r="B635" s="51"/>
      <c r="C635" s="14"/>
    </row>
    <row r="636" customFormat="false" ht="13.8" hidden="false" customHeight="false" outlineLevel="0" collapsed="false">
      <c r="B636" s="51"/>
      <c r="C636" s="14"/>
    </row>
    <row r="637" customFormat="false" ht="13.8" hidden="false" customHeight="false" outlineLevel="0" collapsed="false">
      <c r="B637" s="51"/>
      <c r="C637" s="14"/>
    </row>
    <row r="638" customFormat="false" ht="13.8" hidden="false" customHeight="false" outlineLevel="0" collapsed="false">
      <c r="B638" s="51"/>
      <c r="C638" s="14"/>
    </row>
    <row r="639" customFormat="false" ht="13.8" hidden="false" customHeight="false" outlineLevel="0" collapsed="false">
      <c r="B639" s="51"/>
      <c r="C639" s="14"/>
    </row>
    <row r="640" customFormat="false" ht="13.8" hidden="false" customHeight="false" outlineLevel="0" collapsed="false">
      <c r="B640" s="51"/>
      <c r="C640" s="14"/>
    </row>
    <row r="641" customFormat="false" ht="13.8" hidden="false" customHeight="false" outlineLevel="0" collapsed="false">
      <c r="B641" s="51"/>
      <c r="C641" s="14"/>
    </row>
    <row r="642" customFormat="false" ht="13.8" hidden="false" customHeight="false" outlineLevel="0" collapsed="false">
      <c r="B642" s="51"/>
      <c r="C642" s="14"/>
    </row>
    <row r="643" customFormat="false" ht="13.8" hidden="false" customHeight="false" outlineLevel="0" collapsed="false">
      <c r="B643" s="51"/>
      <c r="C643" s="14"/>
    </row>
    <row r="644" customFormat="false" ht="13.8" hidden="false" customHeight="false" outlineLevel="0" collapsed="false">
      <c r="B644" s="51"/>
      <c r="C644" s="14"/>
    </row>
    <row r="645" customFormat="false" ht="13.8" hidden="false" customHeight="false" outlineLevel="0" collapsed="false">
      <c r="B645" s="51"/>
      <c r="C645" s="14"/>
    </row>
    <row r="646" customFormat="false" ht="13.8" hidden="false" customHeight="false" outlineLevel="0" collapsed="false">
      <c r="B646" s="51"/>
      <c r="C646" s="14"/>
    </row>
    <row r="647" customFormat="false" ht="13.8" hidden="false" customHeight="false" outlineLevel="0" collapsed="false">
      <c r="B647" s="51"/>
      <c r="C647" s="14"/>
    </row>
    <row r="648" customFormat="false" ht="13.8" hidden="false" customHeight="false" outlineLevel="0" collapsed="false">
      <c r="B648" s="51"/>
      <c r="C648" s="14"/>
    </row>
    <row r="649" customFormat="false" ht="13.8" hidden="false" customHeight="false" outlineLevel="0" collapsed="false">
      <c r="B649" s="51"/>
      <c r="C649" s="14"/>
    </row>
    <row r="650" customFormat="false" ht="13.8" hidden="false" customHeight="false" outlineLevel="0" collapsed="false">
      <c r="B650" s="51"/>
      <c r="C650" s="14"/>
    </row>
    <row r="651" customFormat="false" ht="13.8" hidden="false" customHeight="false" outlineLevel="0" collapsed="false">
      <c r="B651" s="51"/>
      <c r="C651" s="14"/>
    </row>
    <row r="652" customFormat="false" ht="13.8" hidden="false" customHeight="false" outlineLevel="0" collapsed="false">
      <c r="B652" s="51"/>
      <c r="C652" s="14"/>
    </row>
    <row r="653" customFormat="false" ht="13.8" hidden="false" customHeight="false" outlineLevel="0" collapsed="false">
      <c r="B653" s="51"/>
      <c r="C653" s="14"/>
    </row>
    <row r="654" customFormat="false" ht="13.8" hidden="false" customHeight="false" outlineLevel="0" collapsed="false">
      <c r="B654" s="51"/>
      <c r="C654" s="14"/>
    </row>
    <row r="655" customFormat="false" ht="13.8" hidden="false" customHeight="false" outlineLevel="0" collapsed="false">
      <c r="B655" s="51"/>
      <c r="C655" s="14"/>
    </row>
    <row r="656" customFormat="false" ht="13.8" hidden="false" customHeight="false" outlineLevel="0" collapsed="false">
      <c r="B656" s="51"/>
      <c r="C656" s="14"/>
    </row>
    <row r="657" customFormat="false" ht="13.8" hidden="false" customHeight="false" outlineLevel="0" collapsed="false">
      <c r="B657" s="51"/>
      <c r="C657" s="14"/>
    </row>
    <row r="658" customFormat="false" ht="13.8" hidden="false" customHeight="false" outlineLevel="0" collapsed="false">
      <c r="B658" s="51"/>
      <c r="C658" s="14"/>
    </row>
    <row r="659" customFormat="false" ht="13.8" hidden="false" customHeight="false" outlineLevel="0" collapsed="false">
      <c r="B659" s="51"/>
      <c r="C659" s="14"/>
    </row>
    <row r="660" customFormat="false" ht="13.8" hidden="false" customHeight="false" outlineLevel="0" collapsed="false">
      <c r="B660" s="51"/>
      <c r="C660" s="14"/>
    </row>
    <row r="661" customFormat="false" ht="13.8" hidden="false" customHeight="false" outlineLevel="0" collapsed="false">
      <c r="B661" s="51"/>
      <c r="C661" s="14"/>
    </row>
    <row r="662" customFormat="false" ht="13.8" hidden="false" customHeight="false" outlineLevel="0" collapsed="false">
      <c r="B662" s="51"/>
      <c r="C662" s="14"/>
    </row>
    <row r="663" customFormat="false" ht="13.8" hidden="false" customHeight="false" outlineLevel="0" collapsed="false">
      <c r="B663" s="51"/>
      <c r="C663" s="14"/>
    </row>
    <row r="664" customFormat="false" ht="13.8" hidden="false" customHeight="false" outlineLevel="0" collapsed="false">
      <c r="B664" s="51"/>
      <c r="C664" s="14"/>
    </row>
    <row r="665" customFormat="false" ht="13.8" hidden="false" customHeight="false" outlineLevel="0" collapsed="false">
      <c r="B665" s="51"/>
      <c r="C665" s="14"/>
    </row>
    <row r="666" customFormat="false" ht="13.8" hidden="false" customHeight="false" outlineLevel="0" collapsed="false">
      <c r="B666" s="51"/>
      <c r="C666" s="14"/>
    </row>
    <row r="667" customFormat="false" ht="13.8" hidden="false" customHeight="false" outlineLevel="0" collapsed="false">
      <c r="B667" s="51"/>
      <c r="C667" s="14"/>
    </row>
    <row r="668" customFormat="false" ht="13.8" hidden="false" customHeight="false" outlineLevel="0" collapsed="false">
      <c r="B668" s="51"/>
      <c r="C668" s="14"/>
    </row>
    <row r="669" customFormat="false" ht="13.8" hidden="false" customHeight="false" outlineLevel="0" collapsed="false">
      <c r="B669" s="51"/>
      <c r="C669" s="14"/>
    </row>
    <row r="670" customFormat="false" ht="13.8" hidden="false" customHeight="false" outlineLevel="0" collapsed="false">
      <c r="B670" s="51"/>
      <c r="C670" s="14"/>
    </row>
    <row r="671" customFormat="false" ht="13.8" hidden="false" customHeight="false" outlineLevel="0" collapsed="false">
      <c r="B671" s="51"/>
      <c r="C671" s="14"/>
    </row>
    <row r="672" customFormat="false" ht="13.8" hidden="false" customHeight="false" outlineLevel="0" collapsed="false">
      <c r="B672" s="51"/>
      <c r="C672" s="14"/>
    </row>
    <row r="673" customFormat="false" ht="13.8" hidden="false" customHeight="false" outlineLevel="0" collapsed="false">
      <c r="B673" s="51"/>
      <c r="C673" s="14"/>
    </row>
    <row r="674" customFormat="false" ht="13.8" hidden="false" customHeight="false" outlineLevel="0" collapsed="false">
      <c r="B674" s="51"/>
      <c r="C674" s="14"/>
    </row>
    <row r="675" customFormat="false" ht="13.8" hidden="false" customHeight="false" outlineLevel="0" collapsed="false">
      <c r="B675" s="51"/>
      <c r="C675" s="14"/>
    </row>
    <row r="676" customFormat="false" ht="13.8" hidden="false" customHeight="false" outlineLevel="0" collapsed="false">
      <c r="B676" s="51"/>
      <c r="C676" s="14"/>
    </row>
    <row r="677" customFormat="false" ht="13.8" hidden="false" customHeight="false" outlineLevel="0" collapsed="false">
      <c r="B677" s="51"/>
      <c r="C677" s="14"/>
    </row>
    <row r="678" customFormat="false" ht="13.8" hidden="false" customHeight="false" outlineLevel="0" collapsed="false">
      <c r="B678" s="51"/>
      <c r="C678" s="14"/>
    </row>
    <row r="679" customFormat="false" ht="13.8" hidden="false" customHeight="false" outlineLevel="0" collapsed="false">
      <c r="B679" s="51"/>
      <c r="C679" s="14"/>
    </row>
    <row r="680" customFormat="false" ht="13.8" hidden="false" customHeight="false" outlineLevel="0" collapsed="false">
      <c r="B680" s="51"/>
      <c r="C680" s="14"/>
    </row>
    <row r="681" customFormat="false" ht="13.8" hidden="false" customHeight="false" outlineLevel="0" collapsed="false">
      <c r="B681" s="51"/>
      <c r="C681" s="14"/>
    </row>
    <row r="682" customFormat="false" ht="13.8" hidden="false" customHeight="false" outlineLevel="0" collapsed="false">
      <c r="B682" s="51"/>
      <c r="C682" s="14"/>
    </row>
    <row r="683" customFormat="false" ht="13.8" hidden="false" customHeight="false" outlineLevel="0" collapsed="false">
      <c r="B683" s="51"/>
      <c r="C683" s="14"/>
    </row>
    <row r="684" customFormat="false" ht="13.8" hidden="false" customHeight="false" outlineLevel="0" collapsed="false">
      <c r="B684" s="51"/>
      <c r="C684" s="14"/>
    </row>
    <row r="685" customFormat="false" ht="13.8" hidden="false" customHeight="false" outlineLevel="0" collapsed="false">
      <c r="B685" s="51"/>
      <c r="C685" s="14"/>
    </row>
    <row r="686" customFormat="false" ht="13.8" hidden="false" customHeight="false" outlineLevel="0" collapsed="false">
      <c r="B686" s="51"/>
      <c r="C686" s="14"/>
    </row>
    <row r="687" customFormat="false" ht="13.8" hidden="false" customHeight="false" outlineLevel="0" collapsed="false">
      <c r="B687" s="51"/>
      <c r="C687" s="14"/>
    </row>
    <row r="688" customFormat="false" ht="13.8" hidden="false" customHeight="false" outlineLevel="0" collapsed="false">
      <c r="B688" s="51"/>
      <c r="C688" s="14"/>
    </row>
    <row r="689" customFormat="false" ht="13.8" hidden="false" customHeight="false" outlineLevel="0" collapsed="false">
      <c r="B689" s="51"/>
      <c r="C689" s="14"/>
    </row>
    <row r="690" customFormat="false" ht="13.8" hidden="false" customHeight="false" outlineLevel="0" collapsed="false">
      <c r="B690" s="51"/>
      <c r="C690" s="14"/>
    </row>
    <row r="691" customFormat="false" ht="13.8" hidden="false" customHeight="false" outlineLevel="0" collapsed="false">
      <c r="B691" s="51"/>
      <c r="C691" s="14"/>
    </row>
    <row r="692" customFormat="false" ht="13.8" hidden="false" customHeight="false" outlineLevel="0" collapsed="false">
      <c r="B692" s="51"/>
      <c r="C692" s="14"/>
    </row>
    <row r="693" customFormat="false" ht="13.8" hidden="false" customHeight="false" outlineLevel="0" collapsed="false">
      <c r="B693" s="51"/>
      <c r="C693" s="14"/>
    </row>
    <row r="694" customFormat="false" ht="13.8" hidden="false" customHeight="false" outlineLevel="0" collapsed="false">
      <c r="B694" s="51"/>
      <c r="C694" s="14"/>
    </row>
    <row r="695" customFormat="false" ht="13.8" hidden="false" customHeight="false" outlineLevel="0" collapsed="false">
      <c r="B695" s="51"/>
      <c r="C695" s="14"/>
    </row>
    <row r="696" customFormat="false" ht="13.8" hidden="false" customHeight="false" outlineLevel="0" collapsed="false">
      <c r="B696" s="51"/>
      <c r="C696" s="14"/>
    </row>
    <row r="697" customFormat="false" ht="13.8" hidden="false" customHeight="false" outlineLevel="0" collapsed="false">
      <c r="B697" s="51"/>
      <c r="C697" s="14"/>
    </row>
    <row r="698" customFormat="false" ht="13.8" hidden="false" customHeight="false" outlineLevel="0" collapsed="false">
      <c r="B698" s="51"/>
      <c r="C698" s="14"/>
    </row>
    <row r="699" customFormat="false" ht="13.8" hidden="false" customHeight="false" outlineLevel="0" collapsed="false">
      <c r="B699" s="51"/>
      <c r="C699" s="14"/>
    </row>
    <row r="700" customFormat="false" ht="13.8" hidden="false" customHeight="false" outlineLevel="0" collapsed="false">
      <c r="B700" s="51"/>
      <c r="C700" s="14"/>
    </row>
    <row r="701" customFormat="false" ht="13.8" hidden="false" customHeight="false" outlineLevel="0" collapsed="false">
      <c r="B701" s="51"/>
      <c r="C701" s="14"/>
    </row>
    <row r="702" customFormat="false" ht="13.8" hidden="false" customHeight="false" outlineLevel="0" collapsed="false">
      <c r="B702" s="51"/>
      <c r="C702" s="14"/>
    </row>
    <row r="703" customFormat="false" ht="13.8" hidden="false" customHeight="false" outlineLevel="0" collapsed="false">
      <c r="B703" s="51"/>
      <c r="C703" s="14"/>
    </row>
    <row r="704" customFormat="false" ht="13.8" hidden="false" customHeight="false" outlineLevel="0" collapsed="false">
      <c r="B704" s="51"/>
      <c r="C704" s="14"/>
    </row>
    <row r="705" customFormat="false" ht="13.8" hidden="false" customHeight="false" outlineLevel="0" collapsed="false">
      <c r="B705" s="51"/>
      <c r="C705" s="14"/>
    </row>
    <row r="706" customFormat="false" ht="13.8" hidden="false" customHeight="false" outlineLevel="0" collapsed="false">
      <c r="B706" s="51"/>
      <c r="C706" s="14"/>
    </row>
    <row r="707" customFormat="false" ht="13.8" hidden="false" customHeight="false" outlineLevel="0" collapsed="false">
      <c r="B707" s="51"/>
      <c r="C707" s="14"/>
    </row>
    <row r="708" customFormat="false" ht="13.8" hidden="false" customHeight="false" outlineLevel="0" collapsed="false">
      <c r="B708" s="51"/>
      <c r="C708" s="14"/>
    </row>
    <row r="709" customFormat="false" ht="13.8" hidden="false" customHeight="false" outlineLevel="0" collapsed="false">
      <c r="B709" s="51"/>
      <c r="C709" s="14"/>
    </row>
    <row r="710" customFormat="false" ht="13.8" hidden="false" customHeight="false" outlineLevel="0" collapsed="false">
      <c r="B710" s="51"/>
      <c r="C710" s="14"/>
    </row>
    <row r="711" customFormat="false" ht="13.8" hidden="false" customHeight="false" outlineLevel="0" collapsed="false">
      <c r="B711" s="51"/>
      <c r="C711" s="14"/>
    </row>
    <row r="712" customFormat="false" ht="13.8" hidden="false" customHeight="false" outlineLevel="0" collapsed="false">
      <c r="B712" s="51"/>
      <c r="C712" s="14"/>
    </row>
    <row r="713" customFormat="false" ht="13.8" hidden="false" customHeight="false" outlineLevel="0" collapsed="false">
      <c r="B713" s="51"/>
      <c r="C713" s="14"/>
    </row>
    <row r="714" customFormat="false" ht="13.8" hidden="false" customHeight="false" outlineLevel="0" collapsed="false">
      <c r="B714" s="51"/>
      <c r="C714" s="14"/>
    </row>
    <row r="715" customFormat="false" ht="13.8" hidden="false" customHeight="false" outlineLevel="0" collapsed="false">
      <c r="B715" s="51"/>
      <c r="C715" s="14"/>
    </row>
    <row r="716" customFormat="false" ht="13.8" hidden="false" customHeight="false" outlineLevel="0" collapsed="false">
      <c r="B716" s="51"/>
      <c r="C716" s="14"/>
    </row>
    <row r="717" customFormat="false" ht="13.8" hidden="false" customHeight="false" outlineLevel="0" collapsed="false">
      <c r="B717" s="51"/>
      <c r="C717" s="14"/>
    </row>
    <row r="718" customFormat="false" ht="13.8" hidden="false" customHeight="false" outlineLevel="0" collapsed="false">
      <c r="B718" s="51"/>
      <c r="C718" s="14"/>
    </row>
    <row r="719" customFormat="false" ht="13.8" hidden="false" customHeight="false" outlineLevel="0" collapsed="false">
      <c r="B719" s="51"/>
      <c r="C719" s="14"/>
    </row>
    <row r="720" customFormat="false" ht="13.8" hidden="false" customHeight="false" outlineLevel="0" collapsed="false">
      <c r="B720" s="51"/>
      <c r="C720" s="14"/>
    </row>
    <row r="721" customFormat="false" ht="13.8" hidden="false" customHeight="false" outlineLevel="0" collapsed="false">
      <c r="B721" s="51"/>
      <c r="C721" s="14"/>
    </row>
    <row r="722" customFormat="false" ht="13.8" hidden="false" customHeight="false" outlineLevel="0" collapsed="false">
      <c r="B722" s="51"/>
      <c r="C722" s="14"/>
    </row>
    <row r="723" customFormat="false" ht="13.8" hidden="false" customHeight="false" outlineLevel="0" collapsed="false">
      <c r="B723" s="51"/>
      <c r="C723" s="14"/>
    </row>
    <row r="724" customFormat="false" ht="13.8" hidden="false" customHeight="false" outlineLevel="0" collapsed="false">
      <c r="B724" s="51"/>
      <c r="C724" s="14"/>
    </row>
    <row r="725" customFormat="false" ht="13.8" hidden="false" customHeight="false" outlineLevel="0" collapsed="false">
      <c r="B725" s="51"/>
      <c r="C725" s="14"/>
    </row>
    <row r="726" customFormat="false" ht="13.8" hidden="false" customHeight="false" outlineLevel="0" collapsed="false">
      <c r="B726" s="51"/>
      <c r="C726" s="14"/>
    </row>
    <row r="727" customFormat="false" ht="13.8" hidden="false" customHeight="false" outlineLevel="0" collapsed="false">
      <c r="B727" s="51"/>
      <c r="C727" s="14"/>
    </row>
    <row r="728" customFormat="false" ht="13.8" hidden="false" customHeight="false" outlineLevel="0" collapsed="false">
      <c r="B728" s="51"/>
      <c r="C728" s="14"/>
    </row>
    <row r="729" customFormat="false" ht="13.8" hidden="false" customHeight="false" outlineLevel="0" collapsed="false">
      <c r="B729" s="51"/>
      <c r="C729" s="14"/>
    </row>
    <row r="730" customFormat="false" ht="13.8" hidden="false" customHeight="false" outlineLevel="0" collapsed="false">
      <c r="B730" s="51"/>
      <c r="C730" s="14"/>
    </row>
    <row r="731" customFormat="false" ht="13.8" hidden="false" customHeight="false" outlineLevel="0" collapsed="false">
      <c r="B731" s="51"/>
      <c r="C731" s="14"/>
    </row>
    <row r="732" customFormat="false" ht="13.8" hidden="false" customHeight="false" outlineLevel="0" collapsed="false">
      <c r="B732" s="51"/>
      <c r="C732" s="14"/>
    </row>
    <row r="733" customFormat="false" ht="13.8" hidden="false" customHeight="false" outlineLevel="0" collapsed="false">
      <c r="B733" s="51"/>
      <c r="C733" s="14"/>
    </row>
    <row r="734" customFormat="false" ht="13.8" hidden="false" customHeight="false" outlineLevel="0" collapsed="false">
      <c r="B734" s="51"/>
      <c r="C734" s="14"/>
    </row>
    <row r="735" customFormat="false" ht="13.8" hidden="false" customHeight="false" outlineLevel="0" collapsed="false">
      <c r="B735" s="51"/>
      <c r="C735" s="14"/>
    </row>
    <row r="736" customFormat="false" ht="13.8" hidden="false" customHeight="false" outlineLevel="0" collapsed="false">
      <c r="B736" s="51"/>
      <c r="C736" s="14"/>
    </row>
    <row r="737" customFormat="false" ht="13.8" hidden="false" customHeight="false" outlineLevel="0" collapsed="false">
      <c r="B737" s="51"/>
      <c r="C737" s="14"/>
    </row>
    <row r="738" customFormat="false" ht="13.8" hidden="false" customHeight="false" outlineLevel="0" collapsed="false">
      <c r="B738" s="51"/>
      <c r="C738" s="14"/>
    </row>
    <row r="739" customFormat="false" ht="13.8" hidden="false" customHeight="false" outlineLevel="0" collapsed="false">
      <c r="B739" s="51"/>
      <c r="C739" s="14"/>
    </row>
    <row r="740" customFormat="false" ht="13.8" hidden="false" customHeight="false" outlineLevel="0" collapsed="false">
      <c r="B740" s="51"/>
      <c r="C740" s="14"/>
    </row>
    <row r="741" customFormat="false" ht="13.8" hidden="false" customHeight="false" outlineLevel="0" collapsed="false">
      <c r="B741" s="51"/>
      <c r="C741" s="14"/>
    </row>
    <row r="742" customFormat="false" ht="13.8" hidden="false" customHeight="false" outlineLevel="0" collapsed="false">
      <c r="B742" s="51"/>
      <c r="C742" s="14"/>
    </row>
    <row r="743" customFormat="false" ht="13.8" hidden="false" customHeight="false" outlineLevel="0" collapsed="false">
      <c r="B743" s="51"/>
      <c r="C743" s="14"/>
    </row>
    <row r="744" customFormat="false" ht="13.8" hidden="false" customHeight="false" outlineLevel="0" collapsed="false">
      <c r="B744" s="51"/>
      <c r="C744" s="14"/>
    </row>
    <row r="745" customFormat="false" ht="13.8" hidden="false" customHeight="false" outlineLevel="0" collapsed="false">
      <c r="B745" s="51"/>
      <c r="C745" s="14"/>
    </row>
    <row r="746" customFormat="false" ht="13.8" hidden="false" customHeight="false" outlineLevel="0" collapsed="false">
      <c r="B746" s="51"/>
      <c r="C746" s="14"/>
    </row>
    <row r="747" customFormat="false" ht="13.8" hidden="false" customHeight="false" outlineLevel="0" collapsed="false">
      <c r="B747" s="51"/>
      <c r="C747" s="14"/>
    </row>
    <row r="748" customFormat="false" ht="13.8" hidden="false" customHeight="false" outlineLevel="0" collapsed="false">
      <c r="B748" s="51"/>
      <c r="C748" s="14"/>
    </row>
    <row r="749" customFormat="false" ht="13.8" hidden="false" customHeight="false" outlineLevel="0" collapsed="false">
      <c r="B749" s="51"/>
      <c r="C749" s="14"/>
    </row>
    <row r="750" customFormat="false" ht="13.8" hidden="false" customHeight="false" outlineLevel="0" collapsed="false">
      <c r="B750" s="51"/>
      <c r="C750" s="14"/>
    </row>
    <row r="751" customFormat="false" ht="13.8" hidden="false" customHeight="false" outlineLevel="0" collapsed="false">
      <c r="B751" s="51"/>
      <c r="C751" s="14"/>
    </row>
    <row r="752" customFormat="false" ht="13.8" hidden="false" customHeight="false" outlineLevel="0" collapsed="false">
      <c r="B752" s="51"/>
      <c r="C752" s="14"/>
    </row>
    <row r="753" customFormat="false" ht="13.8" hidden="false" customHeight="false" outlineLevel="0" collapsed="false">
      <c r="B753" s="51"/>
      <c r="C753" s="14"/>
    </row>
    <row r="754" customFormat="false" ht="13.8" hidden="false" customHeight="false" outlineLevel="0" collapsed="false">
      <c r="B754" s="51"/>
      <c r="C754" s="14"/>
    </row>
    <row r="755" customFormat="false" ht="13.8" hidden="false" customHeight="false" outlineLevel="0" collapsed="false">
      <c r="B755" s="51"/>
      <c r="C755" s="14"/>
    </row>
    <row r="756" customFormat="false" ht="13.8" hidden="false" customHeight="false" outlineLevel="0" collapsed="false">
      <c r="B756" s="51"/>
      <c r="C756" s="14"/>
    </row>
    <row r="757" customFormat="false" ht="13.8" hidden="false" customHeight="false" outlineLevel="0" collapsed="false">
      <c r="B757" s="51"/>
      <c r="C757" s="14"/>
    </row>
    <row r="758" customFormat="false" ht="13.8" hidden="false" customHeight="false" outlineLevel="0" collapsed="false">
      <c r="B758" s="51"/>
      <c r="C758" s="14"/>
    </row>
    <row r="759" customFormat="false" ht="13.8" hidden="false" customHeight="false" outlineLevel="0" collapsed="false">
      <c r="B759" s="51"/>
      <c r="C759" s="14"/>
    </row>
    <row r="760" customFormat="false" ht="13.8" hidden="false" customHeight="false" outlineLevel="0" collapsed="false">
      <c r="B760" s="51"/>
      <c r="C760" s="14"/>
    </row>
    <row r="761" customFormat="false" ht="13.8" hidden="false" customHeight="false" outlineLevel="0" collapsed="false">
      <c r="B761" s="51"/>
      <c r="C761" s="14"/>
    </row>
    <row r="762" customFormat="false" ht="13.8" hidden="false" customHeight="false" outlineLevel="0" collapsed="false">
      <c r="B762" s="51"/>
      <c r="C762" s="14"/>
    </row>
    <row r="763" customFormat="false" ht="13.8" hidden="false" customHeight="false" outlineLevel="0" collapsed="false">
      <c r="B763" s="51"/>
      <c r="C763" s="14"/>
    </row>
    <row r="764" customFormat="false" ht="13.8" hidden="false" customHeight="false" outlineLevel="0" collapsed="false">
      <c r="B764" s="51"/>
      <c r="C764" s="14"/>
    </row>
    <row r="765" customFormat="false" ht="13.8" hidden="false" customHeight="false" outlineLevel="0" collapsed="false">
      <c r="B765" s="51"/>
      <c r="C765" s="14"/>
    </row>
    <row r="766" customFormat="false" ht="13.8" hidden="false" customHeight="false" outlineLevel="0" collapsed="false">
      <c r="B766" s="51"/>
      <c r="C766" s="14"/>
    </row>
    <row r="767" customFormat="false" ht="13.8" hidden="false" customHeight="false" outlineLevel="0" collapsed="false">
      <c r="B767" s="51"/>
      <c r="C767" s="14"/>
    </row>
    <row r="768" customFormat="false" ht="13.8" hidden="false" customHeight="false" outlineLevel="0" collapsed="false">
      <c r="B768" s="51"/>
      <c r="C768" s="14"/>
    </row>
    <row r="769" customFormat="false" ht="13.8" hidden="false" customHeight="false" outlineLevel="0" collapsed="false">
      <c r="B769" s="51"/>
      <c r="C769" s="14"/>
    </row>
    <row r="770" customFormat="false" ht="13.8" hidden="false" customHeight="false" outlineLevel="0" collapsed="false">
      <c r="B770" s="51"/>
      <c r="C770" s="14"/>
    </row>
    <row r="771" customFormat="false" ht="13.8" hidden="false" customHeight="false" outlineLevel="0" collapsed="false">
      <c r="B771" s="51"/>
      <c r="C771" s="14"/>
    </row>
    <row r="772" customFormat="false" ht="13.8" hidden="false" customHeight="false" outlineLevel="0" collapsed="false">
      <c r="B772" s="51"/>
      <c r="C772" s="14"/>
    </row>
    <row r="773" customFormat="false" ht="13.8" hidden="false" customHeight="false" outlineLevel="0" collapsed="false">
      <c r="B773" s="51"/>
      <c r="C773" s="14"/>
    </row>
    <row r="774" customFormat="false" ht="13.8" hidden="false" customHeight="false" outlineLevel="0" collapsed="false">
      <c r="B774" s="51"/>
      <c r="C774" s="14"/>
    </row>
    <row r="775" customFormat="false" ht="13.8" hidden="false" customHeight="false" outlineLevel="0" collapsed="false">
      <c r="B775" s="51"/>
      <c r="C775" s="14"/>
    </row>
    <row r="776" customFormat="false" ht="13.8" hidden="false" customHeight="false" outlineLevel="0" collapsed="false">
      <c r="B776" s="51"/>
      <c r="C776" s="14"/>
    </row>
    <row r="777" customFormat="false" ht="13.8" hidden="false" customHeight="false" outlineLevel="0" collapsed="false">
      <c r="B777" s="51"/>
      <c r="C777" s="14"/>
    </row>
    <row r="778" customFormat="false" ht="13.8" hidden="false" customHeight="false" outlineLevel="0" collapsed="false">
      <c r="B778" s="51"/>
      <c r="C778" s="14"/>
    </row>
    <row r="779" customFormat="false" ht="13.8" hidden="false" customHeight="false" outlineLevel="0" collapsed="false">
      <c r="B779" s="51"/>
      <c r="C779" s="14"/>
    </row>
    <row r="780" customFormat="false" ht="13.8" hidden="false" customHeight="false" outlineLevel="0" collapsed="false">
      <c r="B780" s="51"/>
      <c r="C780" s="14"/>
    </row>
    <row r="781" customFormat="false" ht="13.8" hidden="false" customHeight="false" outlineLevel="0" collapsed="false">
      <c r="B781" s="51"/>
      <c r="C781" s="14"/>
    </row>
    <row r="782" customFormat="false" ht="13.8" hidden="false" customHeight="false" outlineLevel="0" collapsed="false">
      <c r="B782" s="51"/>
      <c r="C782" s="14"/>
    </row>
    <row r="783" customFormat="false" ht="13.8" hidden="false" customHeight="false" outlineLevel="0" collapsed="false">
      <c r="B783" s="51"/>
      <c r="C783" s="14"/>
    </row>
    <row r="784" customFormat="false" ht="13.8" hidden="false" customHeight="false" outlineLevel="0" collapsed="false">
      <c r="B784" s="51"/>
      <c r="C784" s="14"/>
    </row>
    <row r="785" customFormat="false" ht="13.8" hidden="false" customHeight="false" outlineLevel="0" collapsed="false">
      <c r="B785" s="51"/>
      <c r="C785" s="14"/>
    </row>
    <row r="786" customFormat="false" ht="13.8" hidden="false" customHeight="false" outlineLevel="0" collapsed="false">
      <c r="B786" s="51"/>
      <c r="C786" s="14"/>
    </row>
    <row r="787" customFormat="false" ht="13.8" hidden="false" customHeight="false" outlineLevel="0" collapsed="false">
      <c r="B787" s="51"/>
      <c r="C787" s="14"/>
    </row>
    <row r="788" customFormat="false" ht="13.8" hidden="false" customHeight="false" outlineLevel="0" collapsed="false">
      <c r="B788" s="51"/>
      <c r="C788" s="14"/>
    </row>
    <row r="789" customFormat="false" ht="13.8" hidden="false" customHeight="false" outlineLevel="0" collapsed="false">
      <c r="B789" s="51"/>
      <c r="C789" s="14"/>
    </row>
    <row r="790" customFormat="false" ht="13.8" hidden="false" customHeight="false" outlineLevel="0" collapsed="false">
      <c r="B790" s="51"/>
      <c r="C790" s="14"/>
    </row>
    <row r="791" customFormat="false" ht="13.8" hidden="false" customHeight="false" outlineLevel="0" collapsed="false">
      <c r="B791" s="51"/>
      <c r="C791" s="14"/>
    </row>
    <row r="792" customFormat="false" ht="13.8" hidden="false" customHeight="false" outlineLevel="0" collapsed="false">
      <c r="B792" s="51"/>
      <c r="C792" s="14"/>
    </row>
    <row r="793" customFormat="false" ht="13.8" hidden="false" customHeight="false" outlineLevel="0" collapsed="false">
      <c r="B793" s="51"/>
      <c r="C793" s="14"/>
    </row>
    <row r="794" customFormat="false" ht="13.8" hidden="false" customHeight="false" outlineLevel="0" collapsed="false">
      <c r="B794" s="51"/>
      <c r="C794" s="14"/>
    </row>
    <row r="795" customFormat="false" ht="13.8" hidden="false" customHeight="false" outlineLevel="0" collapsed="false">
      <c r="B795" s="51"/>
      <c r="C795" s="14"/>
    </row>
    <row r="796" customFormat="false" ht="13.8" hidden="false" customHeight="false" outlineLevel="0" collapsed="false">
      <c r="B796" s="51"/>
      <c r="C796" s="14"/>
    </row>
    <row r="797" customFormat="false" ht="13.8" hidden="false" customHeight="false" outlineLevel="0" collapsed="false">
      <c r="B797" s="51"/>
      <c r="C797" s="14"/>
    </row>
    <row r="798" customFormat="false" ht="13.8" hidden="false" customHeight="false" outlineLevel="0" collapsed="false">
      <c r="B798" s="51"/>
      <c r="C798" s="14"/>
    </row>
    <row r="799" customFormat="false" ht="13.8" hidden="false" customHeight="false" outlineLevel="0" collapsed="false">
      <c r="B799" s="51"/>
      <c r="C799" s="14"/>
    </row>
    <row r="800" customFormat="false" ht="13.8" hidden="false" customHeight="false" outlineLevel="0" collapsed="false">
      <c r="B800" s="51"/>
      <c r="C800" s="14"/>
    </row>
    <row r="801" customFormat="false" ht="13.8" hidden="false" customHeight="false" outlineLevel="0" collapsed="false">
      <c r="B801" s="51"/>
      <c r="C801" s="14"/>
    </row>
    <row r="802" customFormat="false" ht="13.8" hidden="false" customHeight="false" outlineLevel="0" collapsed="false">
      <c r="B802" s="51"/>
      <c r="C802" s="14"/>
    </row>
    <row r="803" customFormat="false" ht="13.8" hidden="false" customHeight="false" outlineLevel="0" collapsed="false">
      <c r="B803" s="51"/>
      <c r="C803" s="14"/>
    </row>
    <row r="804" customFormat="false" ht="13.8" hidden="false" customHeight="false" outlineLevel="0" collapsed="false">
      <c r="B804" s="51"/>
      <c r="C804" s="14"/>
    </row>
    <row r="805" customFormat="false" ht="13.8" hidden="false" customHeight="false" outlineLevel="0" collapsed="false">
      <c r="B805" s="51"/>
      <c r="C805" s="14"/>
    </row>
    <row r="806" customFormat="false" ht="13.8" hidden="false" customHeight="false" outlineLevel="0" collapsed="false">
      <c r="B806" s="51"/>
      <c r="C806" s="14"/>
    </row>
    <row r="807" customFormat="false" ht="13.8" hidden="false" customHeight="false" outlineLevel="0" collapsed="false">
      <c r="B807" s="51"/>
      <c r="C807" s="14"/>
    </row>
    <row r="808" customFormat="false" ht="13.8" hidden="false" customHeight="false" outlineLevel="0" collapsed="false">
      <c r="B808" s="51"/>
      <c r="C808" s="14"/>
    </row>
    <row r="809" customFormat="false" ht="13.8" hidden="false" customHeight="false" outlineLevel="0" collapsed="false">
      <c r="B809" s="51"/>
      <c r="C809" s="14"/>
    </row>
    <row r="810" customFormat="false" ht="13.8" hidden="false" customHeight="false" outlineLevel="0" collapsed="false">
      <c r="B810" s="51"/>
      <c r="C810" s="14"/>
    </row>
    <row r="811" customFormat="false" ht="13.8" hidden="false" customHeight="false" outlineLevel="0" collapsed="false">
      <c r="B811" s="51"/>
      <c r="C811" s="14"/>
    </row>
    <row r="812" customFormat="false" ht="13.8" hidden="false" customHeight="false" outlineLevel="0" collapsed="false">
      <c r="B812" s="51"/>
      <c r="C812" s="14"/>
    </row>
    <row r="813" customFormat="false" ht="13.8" hidden="false" customHeight="false" outlineLevel="0" collapsed="false">
      <c r="B813" s="51"/>
      <c r="C813" s="14"/>
    </row>
    <row r="814" customFormat="false" ht="13.8" hidden="false" customHeight="false" outlineLevel="0" collapsed="false">
      <c r="B814" s="51"/>
      <c r="C814" s="14"/>
    </row>
    <row r="815" customFormat="false" ht="13.8" hidden="false" customHeight="false" outlineLevel="0" collapsed="false">
      <c r="B815" s="51"/>
      <c r="C815" s="14"/>
    </row>
    <row r="816" customFormat="false" ht="13.8" hidden="false" customHeight="false" outlineLevel="0" collapsed="false">
      <c r="B816" s="51"/>
      <c r="C816" s="14"/>
    </row>
    <row r="817" customFormat="false" ht="13.8" hidden="false" customHeight="false" outlineLevel="0" collapsed="false">
      <c r="B817" s="51"/>
      <c r="C817" s="14"/>
    </row>
    <row r="818" customFormat="false" ht="13.8" hidden="false" customHeight="false" outlineLevel="0" collapsed="false">
      <c r="B818" s="51"/>
      <c r="C818" s="14"/>
    </row>
    <row r="819" customFormat="false" ht="13.8" hidden="false" customHeight="false" outlineLevel="0" collapsed="false">
      <c r="B819" s="51"/>
      <c r="C819" s="14"/>
    </row>
    <row r="820" customFormat="false" ht="13.8" hidden="false" customHeight="false" outlineLevel="0" collapsed="false">
      <c r="B820" s="51"/>
      <c r="C820" s="14"/>
    </row>
    <row r="821" customFormat="false" ht="13.8" hidden="false" customHeight="false" outlineLevel="0" collapsed="false">
      <c r="B821" s="51"/>
      <c r="C821" s="14"/>
    </row>
    <row r="822" customFormat="false" ht="13.8" hidden="false" customHeight="false" outlineLevel="0" collapsed="false">
      <c r="B822" s="51"/>
      <c r="C822" s="14"/>
    </row>
    <row r="823" customFormat="false" ht="13.8" hidden="false" customHeight="false" outlineLevel="0" collapsed="false">
      <c r="B823" s="51"/>
      <c r="C823" s="14"/>
    </row>
    <row r="824" customFormat="false" ht="13.8" hidden="false" customHeight="false" outlineLevel="0" collapsed="false">
      <c r="B824" s="51"/>
      <c r="C824" s="14"/>
    </row>
    <row r="825" customFormat="false" ht="13.8" hidden="false" customHeight="false" outlineLevel="0" collapsed="false">
      <c r="B825" s="51"/>
      <c r="C825" s="14"/>
    </row>
    <row r="826" customFormat="false" ht="13.8" hidden="false" customHeight="false" outlineLevel="0" collapsed="false">
      <c r="B826" s="51"/>
      <c r="C826" s="14"/>
    </row>
    <row r="827" customFormat="false" ht="13.8" hidden="false" customHeight="false" outlineLevel="0" collapsed="false">
      <c r="B827" s="51"/>
      <c r="C827" s="14"/>
    </row>
    <row r="828" customFormat="false" ht="13.8" hidden="false" customHeight="false" outlineLevel="0" collapsed="false">
      <c r="B828" s="51"/>
      <c r="C828" s="14"/>
    </row>
    <row r="829" customFormat="false" ht="13.8" hidden="false" customHeight="false" outlineLevel="0" collapsed="false">
      <c r="B829" s="51"/>
      <c r="C829" s="14"/>
    </row>
    <row r="830" customFormat="false" ht="13.8" hidden="false" customHeight="false" outlineLevel="0" collapsed="false">
      <c r="B830" s="51"/>
      <c r="C830" s="14"/>
    </row>
    <row r="831" customFormat="false" ht="13.8" hidden="false" customHeight="false" outlineLevel="0" collapsed="false">
      <c r="B831" s="51"/>
      <c r="C831" s="14"/>
    </row>
    <row r="832" customFormat="false" ht="13.8" hidden="false" customHeight="false" outlineLevel="0" collapsed="false">
      <c r="B832" s="51"/>
      <c r="C832" s="14"/>
    </row>
    <row r="833" customFormat="false" ht="13.8" hidden="false" customHeight="false" outlineLevel="0" collapsed="false">
      <c r="B833" s="51"/>
      <c r="C833" s="14"/>
    </row>
    <row r="834" customFormat="false" ht="13.8" hidden="false" customHeight="false" outlineLevel="0" collapsed="false">
      <c r="B834" s="51"/>
      <c r="C834" s="14"/>
    </row>
    <row r="835" customFormat="false" ht="13.8" hidden="false" customHeight="false" outlineLevel="0" collapsed="false">
      <c r="B835" s="51"/>
      <c r="C835" s="14"/>
    </row>
    <row r="836" customFormat="false" ht="13.8" hidden="false" customHeight="false" outlineLevel="0" collapsed="false">
      <c r="B836" s="51"/>
      <c r="C836" s="14"/>
    </row>
    <row r="837" customFormat="false" ht="13.8" hidden="false" customHeight="false" outlineLevel="0" collapsed="false">
      <c r="B837" s="51"/>
      <c r="C837" s="14"/>
    </row>
    <row r="838" customFormat="false" ht="13.8" hidden="false" customHeight="false" outlineLevel="0" collapsed="false">
      <c r="B838" s="51"/>
      <c r="C838" s="14"/>
    </row>
    <row r="839" customFormat="false" ht="13.8" hidden="false" customHeight="false" outlineLevel="0" collapsed="false">
      <c r="B839" s="51"/>
      <c r="C839" s="14"/>
    </row>
    <row r="840" customFormat="false" ht="13.8" hidden="false" customHeight="false" outlineLevel="0" collapsed="false">
      <c r="B840" s="51"/>
      <c r="C840" s="14"/>
    </row>
    <row r="841" customFormat="false" ht="13.8" hidden="false" customHeight="false" outlineLevel="0" collapsed="false">
      <c r="B841" s="51"/>
      <c r="C841" s="14"/>
    </row>
    <row r="842" customFormat="false" ht="13.8" hidden="false" customHeight="false" outlineLevel="0" collapsed="false">
      <c r="B842" s="51"/>
      <c r="C842" s="14"/>
    </row>
    <row r="843" customFormat="false" ht="13.8" hidden="false" customHeight="false" outlineLevel="0" collapsed="false">
      <c r="B843" s="51"/>
      <c r="C843" s="14"/>
    </row>
    <row r="844" customFormat="false" ht="13.8" hidden="false" customHeight="false" outlineLevel="0" collapsed="false">
      <c r="B844" s="51"/>
      <c r="C844" s="14"/>
    </row>
    <row r="845" customFormat="false" ht="13.8" hidden="false" customHeight="false" outlineLevel="0" collapsed="false">
      <c r="B845" s="51"/>
      <c r="C845" s="14"/>
    </row>
    <row r="846" customFormat="false" ht="13.8" hidden="false" customHeight="false" outlineLevel="0" collapsed="false">
      <c r="B846" s="51"/>
      <c r="C846" s="14"/>
    </row>
    <row r="847" customFormat="false" ht="13.8" hidden="false" customHeight="false" outlineLevel="0" collapsed="false">
      <c r="B847" s="51"/>
      <c r="C847" s="14"/>
    </row>
    <row r="848" customFormat="false" ht="13.8" hidden="false" customHeight="false" outlineLevel="0" collapsed="false">
      <c r="B848" s="51"/>
      <c r="C848" s="14"/>
    </row>
    <row r="849" customFormat="false" ht="13.8" hidden="false" customHeight="false" outlineLevel="0" collapsed="false">
      <c r="B849" s="51"/>
      <c r="C849" s="14"/>
    </row>
    <row r="850" customFormat="false" ht="13.8" hidden="false" customHeight="false" outlineLevel="0" collapsed="false">
      <c r="B850" s="51"/>
      <c r="C850" s="14"/>
    </row>
    <row r="851" customFormat="false" ht="13.8" hidden="false" customHeight="false" outlineLevel="0" collapsed="false">
      <c r="B851" s="51"/>
      <c r="C851" s="14"/>
    </row>
    <row r="852" customFormat="false" ht="13.8" hidden="false" customHeight="false" outlineLevel="0" collapsed="false">
      <c r="B852" s="51"/>
      <c r="C852" s="14"/>
    </row>
    <row r="853" customFormat="false" ht="13.8" hidden="false" customHeight="false" outlineLevel="0" collapsed="false">
      <c r="B853" s="51"/>
      <c r="C853" s="14"/>
    </row>
    <row r="854" customFormat="false" ht="13.8" hidden="false" customHeight="false" outlineLevel="0" collapsed="false">
      <c r="B854" s="51"/>
      <c r="C854" s="14"/>
    </row>
    <row r="855" customFormat="false" ht="13.8" hidden="false" customHeight="false" outlineLevel="0" collapsed="false">
      <c r="B855" s="51"/>
      <c r="C855" s="14"/>
    </row>
    <row r="856" customFormat="false" ht="13.8" hidden="false" customHeight="false" outlineLevel="0" collapsed="false">
      <c r="B856" s="51"/>
      <c r="C856" s="14"/>
    </row>
    <row r="857" customFormat="false" ht="13.8" hidden="false" customHeight="false" outlineLevel="0" collapsed="false">
      <c r="B857" s="51"/>
      <c r="C857" s="14"/>
    </row>
    <row r="858" customFormat="false" ht="13.8" hidden="false" customHeight="false" outlineLevel="0" collapsed="false">
      <c r="B858" s="51"/>
      <c r="C858" s="14"/>
    </row>
    <row r="859" customFormat="false" ht="13.8" hidden="false" customHeight="false" outlineLevel="0" collapsed="false">
      <c r="B859" s="51"/>
      <c r="C859" s="14"/>
    </row>
    <row r="860" customFormat="false" ht="13.8" hidden="false" customHeight="false" outlineLevel="0" collapsed="false">
      <c r="B860" s="51"/>
      <c r="C860" s="14"/>
    </row>
    <row r="861" customFormat="false" ht="13.8" hidden="false" customHeight="false" outlineLevel="0" collapsed="false">
      <c r="B861" s="51"/>
      <c r="C861" s="14"/>
    </row>
    <row r="862" customFormat="false" ht="13.8" hidden="false" customHeight="false" outlineLevel="0" collapsed="false">
      <c r="B862" s="51"/>
      <c r="C862" s="14"/>
    </row>
    <row r="863" customFormat="false" ht="13.8" hidden="false" customHeight="false" outlineLevel="0" collapsed="false">
      <c r="B863" s="51"/>
      <c r="C863" s="14"/>
    </row>
    <row r="864" customFormat="false" ht="13.8" hidden="false" customHeight="false" outlineLevel="0" collapsed="false">
      <c r="B864" s="51"/>
      <c r="C864" s="14"/>
    </row>
    <row r="865" customFormat="false" ht="13.8" hidden="false" customHeight="false" outlineLevel="0" collapsed="false">
      <c r="B865" s="51"/>
      <c r="C865" s="14"/>
    </row>
    <row r="866" customFormat="false" ht="13.8" hidden="false" customHeight="false" outlineLevel="0" collapsed="false">
      <c r="B866" s="51"/>
      <c r="C866" s="14"/>
    </row>
    <row r="867" customFormat="false" ht="13.8" hidden="false" customHeight="false" outlineLevel="0" collapsed="false">
      <c r="B867" s="51"/>
      <c r="C867" s="14"/>
    </row>
    <row r="868" customFormat="false" ht="13.8" hidden="false" customHeight="false" outlineLevel="0" collapsed="false">
      <c r="B868" s="51"/>
      <c r="C868" s="14"/>
    </row>
    <row r="869" customFormat="false" ht="13.8" hidden="false" customHeight="false" outlineLevel="0" collapsed="false">
      <c r="B869" s="51"/>
      <c r="C869" s="14"/>
    </row>
    <row r="870" customFormat="false" ht="13.8" hidden="false" customHeight="false" outlineLevel="0" collapsed="false">
      <c r="B870" s="51"/>
      <c r="C870" s="14"/>
    </row>
    <row r="871" customFormat="false" ht="13.8" hidden="false" customHeight="false" outlineLevel="0" collapsed="false">
      <c r="B871" s="51"/>
      <c r="C871" s="14"/>
    </row>
    <row r="872" customFormat="false" ht="13.8" hidden="false" customHeight="false" outlineLevel="0" collapsed="false">
      <c r="B872" s="51"/>
      <c r="C872" s="14"/>
    </row>
    <row r="873" customFormat="false" ht="13.8" hidden="false" customHeight="false" outlineLevel="0" collapsed="false">
      <c r="B873" s="51"/>
      <c r="C873" s="14"/>
    </row>
    <row r="874" customFormat="false" ht="13.8" hidden="false" customHeight="false" outlineLevel="0" collapsed="false">
      <c r="B874" s="51"/>
      <c r="C874" s="14"/>
    </row>
    <row r="875" customFormat="false" ht="13.8" hidden="false" customHeight="false" outlineLevel="0" collapsed="false">
      <c r="B875" s="51"/>
      <c r="C875" s="14"/>
    </row>
    <row r="876" customFormat="false" ht="13.8" hidden="false" customHeight="false" outlineLevel="0" collapsed="false">
      <c r="B876" s="51"/>
      <c r="C876" s="14"/>
    </row>
    <row r="877" customFormat="false" ht="13.8" hidden="false" customHeight="false" outlineLevel="0" collapsed="false">
      <c r="B877" s="51"/>
      <c r="C877" s="14"/>
    </row>
    <row r="878" customFormat="false" ht="13.8" hidden="false" customHeight="false" outlineLevel="0" collapsed="false">
      <c r="B878" s="51"/>
      <c r="C878" s="14"/>
    </row>
    <row r="879" customFormat="false" ht="13.8" hidden="false" customHeight="false" outlineLevel="0" collapsed="false">
      <c r="B879" s="51"/>
      <c r="C879" s="14"/>
    </row>
    <row r="880" customFormat="false" ht="13.8" hidden="false" customHeight="false" outlineLevel="0" collapsed="false">
      <c r="B880" s="51"/>
      <c r="C880" s="14"/>
    </row>
    <row r="881" customFormat="false" ht="13.8" hidden="false" customHeight="false" outlineLevel="0" collapsed="false">
      <c r="B881" s="51"/>
      <c r="C881" s="14"/>
    </row>
    <row r="882" customFormat="false" ht="13.8" hidden="false" customHeight="false" outlineLevel="0" collapsed="false">
      <c r="B882" s="51"/>
      <c r="C882" s="14"/>
    </row>
    <row r="883" customFormat="false" ht="13.8" hidden="false" customHeight="false" outlineLevel="0" collapsed="false">
      <c r="B883" s="51"/>
      <c r="C883" s="14"/>
    </row>
    <row r="884" customFormat="false" ht="13.8" hidden="false" customHeight="false" outlineLevel="0" collapsed="false">
      <c r="B884" s="51"/>
      <c r="C884" s="14"/>
    </row>
    <row r="885" customFormat="false" ht="13.8" hidden="false" customHeight="false" outlineLevel="0" collapsed="false">
      <c r="B885" s="51"/>
      <c r="C885" s="14"/>
    </row>
    <row r="886" customFormat="false" ht="13.8" hidden="false" customHeight="false" outlineLevel="0" collapsed="false">
      <c r="B886" s="51"/>
      <c r="C886" s="14"/>
    </row>
    <row r="887" customFormat="false" ht="13.8" hidden="false" customHeight="false" outlineLevel="0" collapsed="false">
      <c r="B887" s="51"/>
      <c r="C887" s="14"/>
    </row>
    <row r="888" customFormat="false" ht="13.8" hidden="false" customHeight="false" outlineLevel="0" collapsed="false">
      <c r="B888" s="51"/>
      <c r="C888" s="14"/>
    </row>
    <row r="889" customFormat="false" ht="13.8" hidden="false" customHeight="false" outlineLevel="0" collapsed="false">
      <c r="B889" s="51"/>
      <c r="C889" s="14"/>
    </row>
    <row r="890" customFormat="false" ht="13.8" hidden="false" customHeight="false" outlineLevel="0" collapsed="false">
      <c r="B890" s="51"/>
      <c r="C890" s="14"/>
    </row>
    <row r="891" customFormat="false" ht="13.8" hidden="false" customHeight="false" outlineLevel="0" collapsed="false">
      <c r="B891" s="51"/>
      <c r="C891" s="14"/>
    </row>
    <row r="892" customFormat="false" ht="13.8" hidden="false" customHeight="false" outlineLevel="0" collapsed="false">
      <c r="B892" s="51"/>
      <c r="C892" s="14"/>
    </row>
    <row r="893" customFormat="false" ht="13.8" hidden="false" customHeight="false" outlineLevel="0" collapsed="false">
      <c r="B893" s="51"/>
      <c r="C893" s="14"/>
    </row>
    <row r="894" customFormat="false" ht="13.8" hidden="false" customHeight="false" outlineLevel="0" collapsed="false">
      <c r="B894" s="51"/>
      <c r="C894" s="14"/>
    </row>
    <row r="895" customFormat="false" ht="13.8" hidden="false" customHeight="false" outlineLevel="0" collapsed="false">
      <c r="B895" s="51"/>
      <c r="C895" s="14"/>
    </row>
    <row r="896" customFormat="false" ht="13.8" hidden="false" customHeight="false" outlineLevel="0" collapsed="false">
      <c r="B896" s="51"/>
      <c r="C896" s="14"/>
    </row>
    <row r="897" customFormat="false" ht="13.8" hidden="false" customHeight="false" outlineLevel="0" collapsed="false">
      <c r="B897" s="51"/>
      <c r="C897" s="14"/>
    </row>
    <row r="898" customFormat="false" ht="13.8" hidden="false" customHeight="false" outlineLevel="0" collapsed="false">
      <c r="B898" s="51"/>
      <c r="C898" s="14"/>
    </row>
    <row r="899" customFormat="false" ht="13.8" hidden="false" customHeight="false" outlineLevel="0" collapsed="false">
      <c r="B899" s="51"/>
      <c r="C899" s="14"/>
    </row>
    <row r="900" customFormat="false" ht="13.8" hidden="false" customHeight="false" outlineLevel="0" collapsed="false">
      <c r="B900" s="51"/>
      <c r="C900" s="14"/>
    </row>
    <row r="901" customFormat="false" ht="13.8" hidden="false" customHeight="false" outlineLevel="0" collapsed="false">
      <c r="B901" s="51"/>
      <c r="C901" s="14"/>
    </row>
    <row r="902" customFormat="false" ht="13.8" hidden="false" customHeight="false" outlineLevel="0" collapsed="false">
      <c r="B902" s="51"/>
      <c r="C902" s="14"/>
    </row>
    <row r="903" customFormat="false" ht="13.8" hidden="false" customHeight="false" outlineLevel="0" collapsed="false">
      <c r="B903" s="51"/>
      <c r="C903" s="14"/>
    </row>
    <row r="904" customFormat="false" ht="13.8" hidden="false" customHeight="false" outlineLevel="0" collapsed="false">
      <c r="B904" s="51"/>
      <c r="C904" s="14"/>
    </row>
    <row r="905" customFormat="false" ht="13.8" hidden="false" customHeight="false" outlineLevel="0" collapsed="false">
      <c r="B905" s="51"/>
      <c r="C905" s="14"/>
    </row>
    <row r="906" customFormat="false" ht="13.8" hidden="false" customHeight="false" outlineLevel="0" collapsed="false">
      <c r="B906" s="51"/>
      <c r="C906" s="14"/>
    </row>
    <row r="907" customFormat="false" ht="13.8" hidden="false" customHeight="false" outlineLevel="0" collapsed="false">
      <c r="B907" s="51"/>
      <c r="C907" s="14"/>
    </row>
    <row r="908" customFormat="false" ht="13.8" hidden="false" customHeight="false" outlineLevel="0" collapsed="false">
      <c r="B908" s="51"/>
      <c r="C908" s="14"/>
    </row>
    <row r="909" customFormat="false" ht="13.8" hidden="false" customHeight="false" outlineLevel="0" collapsed="false">
      <c r="B909" s="51"/>
      <c r="C909" s="14"/>
    </row>
    <row r="910" customFormat="false" ht="13.8" hidden="false" customHeight="false" outlineLevel="0" collapsed="false">
      <c r="B910" s="51"/>
      <c r="C910" s="14"/>
    </row>
    <row r="911" customFormat="false" ht="13.8" hidden="false" customHeight="false" outlineLevel="0" collapsed="false">
      <c r="B911" s="51"/>
      <c r="C911" s="14"/>
    </row>
    <row r="912" customFormat="false" ht="13.8" hidden="false" customHeight="false" outlineLevel="0" collapsed="false">
      <c r="B912" s="51"/>
      <c r="C912" s="14"/>
    </row>
    <row r="913" customFormat="false" ht="13.8" hidden="false" customHeight="false" outlineLevel="0" collapsed="false">
      <c r="B913" s="51"/>
      <c r="C913" s="14"/>
    </row>
    <row r="914" customFormat="false" ht="13.8" hidden="false" customHeight="false" outlineLevel="0" collapsed="false">
      <c r="B914" s="51"/>
      <c r="C914" s="14"/>
    </row>
    <row r="915" customFormat="false" ht="13.8" hidden="false" customHeight="false" outlineLevel="0" collapsed="false">
      <c r="B915" s="51"/>
      <c r="C915" s="14"/>
    </row>
    <row r="916" customFormat="false" ht="13.8" hidden="false" customHeight="false" outlineLevel="0" collapsed="false">
      <c r="B916" s="51"/>
      <c r="C916" s="14"/>
    </row>
    <row r="917" customFormat="false" ht="13.8" hidden="false" customHeight="false" outlineLevel="0" collapsed="false">
      <c r="B917" s="51"/>
      <c r="C917" s="14"/>
    </row>
    <row r="918" customFormat="false" ht="13.8" hidden="false" customHeight="false" outlineLevel="0" collapsed="false">
      <c r="B918" s="51"/>
      <c r="C918" s="14"/>
    </row>
    <row r="919" customFormat="false" ht="13.8" hidden="false" customHeight="false" outlineLevel="0" collapsed="false">
      <c r="B919" s="51"/>
      <c r="C919" s="14"/>
    </row>
    <row r="920" customFormat="false" ht="13.8" hidden="false" customHeight="false" outlineLevel="0" collapsed="false">
      <c r="B920" s="51"/>
      <c r="C920" s="14"/>
    </row>
    <row r="921" customFormat="false" ht="13.8" hidden="false" customHeight="false" outlineLevel="0" collapsed="false">
      <c r="B921" s="51"/>
      <c r="C921" s="14"/>
    </row>
    <row r="922" customFormat="false" ht="13.8" hidden="false" customHeight="false" outlineLevel="0" collapsed="false">
      <c r="B922" s="51"/>
      <c r="C922" s="14"/>
    </row>
    <row r="923" customFormat="false" ht="13.8" hidden="false" customHeight="false" outlineLevel="0" collapsed="false">
      <c r="B923" s="51"/>
      <c r="C923" s="14"/>
    </row>
    <row r="924" customFormat="false" ht="13.8" hidden="false" customHeight="false" outlineLevel="0" collapsed="false">
      <c r="B924" s="51"/>
      <c r="C924" s="14"/>
    </row>
    <row r="925" customFormat="false" ht="13.8" hidden="false" customHeight="false" outlineLevel="0" collapsed="false">
      <c r="B925" s="51"/>
      <c r="C925" s="14"/>
    </row>
    <row r="926" customFormat="false" ht="13.8" hidden="false" customHeight="false" outlineLevel="0" collapsed="false">
      <c r="B926" s="51"/>
      <c r="C926" s="14"/>
    </row>
    <row r="927" customFormat="false" ht="13.8" hidden="false" customHeight="false" outlineLevel="0" collapsed="false">
      <c r="B927" s="51"/>
      <c r="C927" s="14"/>
    </row>
    <row r="928" customFormat="false" ht="13.8" hidden="false" customHeight="false" outlineLevel="0" collapsed="false">
      <c r="B928" s="51"/>
      <c r="C928" s="14"/>
    </row>
    <row r="929" customFormat="false" ht="13.8" hidden="false" customHeight="false" outlineLevel="0" collapsed="false">
      <c r="B929" s="51"/>
      <c r="C929" s="14"/>
    </row>
    <row r="930" customFormat="false" ht="13.8" hidden="false" customHeight="false" outlineLevel="0" collapsed="false">
      <c r="B930" s="51"/>
      <c r="C930" s="14"/>
    </row>
    <row r="931" customFormat="false" ht="13.8" hidden="false" customHeight="false" outlineLevel="0" collapsed="false">
      <c r="B931" s="51"/>
      <c r="C931" s="14"/>
    </row>
    <row r="932" customFormat="false" ht="13.8" hidden="false" customHeight="false" outlineLevel="0" collapsed="false">
      <c r="B932" s="51"/>
      <c r="C932" s="14"/>
    </row>
    <row r="933" customFormat="false" ht="13.8" hidden="false" customHeight="false" outlineLevel="0" collapsed="false">
      <c r="B933" s="51"/>
      <c r="C933" s="14"/>
    </row>
    <row r="934" customFormat="false" ht="13.8" hidden="false" customHeight="false" outlineLevel="0" collapsed="false">
      <c r="B934" s="51"/>
      <c r="C934" s="14"/>
    </row>
    <row r="935" customFormat="false" ht="13.8" hidden="false" customHeight="false" outlineLevel="0" collapsed="false">
      <c r="B935" s="51"/>
      <c r="C935" s="14"/>
    </row>
    <row r="936" customFormat="false" ht="13.8" hidden="false" customHeight="false" outlineLevel="0" collapsed="false">
      <c r="B936" s="51"/>
      <c r="C936" s="14"/>
    </row>
    <row r="937" customFormat="false" ht="13.8" hidden="false" customHeight="false" outlineLevel="0" collapsed="false">
      <c r="B937" s="51"/>
      <c r="C937" s="14"/>
    </row>
    <row r="938" customFormat="false" ht="13.8" hidden="false" customHeight="false" outlineLevel="0" collapsed="false">
      <c r="B938" s="51"/>
      <c r="C938" s="14"/>
    </row>
    <row r="939" customFormat="false" ht="13.8" hidden="false" customHeight="false" outlineLevel="0" collapsed="false">
      <c r="B939" s="51"/>
      <c r="C939" s="14"/>
    </row>
    <row r="940" customFormat="false" ht="13.8" hidden="false" customHeight="false" outlineLevel="0" collapsed="false">
      <c r="B940" s="51"/>
      <c r="C940" s="14"/>
    </row>
    <row r="941" customFormat="false" ht="13.8" hidden="false" customHeight="false" outlineLevel="0" collapsed="false">
      <c r="B941" s="51"/>
      <c r="C941" s="14"/>
    </row>
    <row r="942" customFormat="false" ht="13.8" hidden="false" customHeight="false" outlineLevel="0" collapsed="false">
      <c r="B942" s="51"/>
      <c r="C942" s="14"/>
    </row>
    <row r="943" customFormat="false" ht="13.8" hidden="false" customHeight="false" outlineLevel="0" collapsed="false">
      <c r="B943" s="51"/>
      <c r="C943" s="14"/>
    </row>
    <row r="944" customFormat="false" ht="13.8" hidden="false" customHeight="false" outlineLevel="0" collapsed="false">
      <c r="B944" s="51"/>
      <c r="C944" s="14"/>
    </row>
    <row r="945" customFormat="false" ht="13.8" hidden="false" customHeight="false" outlineLevel="0" collapsed="false">
      <c r="B945" s="51"/>
      <c r="C945" s="14"/>
    </row>
    <row r="946" customFormat="false" ht="13.8" hidden="false" customHeight="false" outlineLevel="0" collapsed="false">
      <c r="B946" s="51"/>
      <c r="C946" s="14"/>
    </row>
    <row r="947" customFormat="false" ht="13.8" hidden="false" customHeight="false" outlineLevel="0" collapsed="false">
      <c r="B947" s="51"/>
      <c r="C947" s="14"/>
    </row>
    <row r="948" customFormat="false" ht="13.8" hidden="false" customHeight="false" outlineLevel="0" collapsed="false">
      <c r="B948" s="51"/>
      <c r="C948" s="14"/>
    </row>
    <row r="949" customFormat="false" ht="13.8" hidden="false" customHeight="false" outlineLevel="0" collapsed="false">
      <c r="B949" s="51"/>
      <c r="C949" s="14"/>
    </row>
    <row r="950" customFormat="false" ht="13.8" hidden="false" customHeight="false" outlineLevel="0" collapsed="false">
      <c r="B950" s="51"/>
      <c r="C950" s="14"/>
    </row>
    <row r="951" customFormat="false" ht="13.8" hidden="false" customHeight="false" outlineLevel="0" collapsed="false">
      <c r="B951" s="51"/>
      <c r="C951" s="14"/>
    </row>
    <row r="952" customFormat="false" ht="13.8" hidden="false" customHeight="false" outlineLevel="0" collapsed="false">
      <c r="B952" s="51"/>
      <c r="C952" s="14"/>
    </row>
    <row r="953" customFormat="false" ht="13.8" hidden="false" customHeight="false" outlineLevel="0" collapsed="false">
      <c r="B953" s="51"/>
      <c r="C953" s="14"/>
    </row>
    <row r="954" customFormat="false" ht="13.8" hidden="false" customHeight="false" outlineLevel="0" collapsed="false">
      <c r="B954" s="51"/>
      <c r="C954" s="14"/>
    </row>
    <row r="955" customFormat="false" ht="13.8" hidden="false" customHeight="false" outlineLevel="0" collapsed="false">
      <c r="B955" s="51"/>
      <c r="C955" s="14"/>
    </row>
    <row r="956" customFormat="false" ht="13.8" hidden="false" customHeight="false" outlineLevel="0" collapsed="false">
      <c r="B956" s="51"/>
      <c r="C956" s="14"/>
    </row>
    <row r="957" customFormat="false" ht="13.8" hidden="false" customHeight="false" outlineLevel="0" collapsed="false">
      <c r="B957" s="51"/>
      <c r="C957" s="14"/>
    </row>
    <row r="958" customFormat="false" ht="13.8" hidden="false" customHeight="false" outlineLevel="0" collapsed="false">
      <c r="B958" s="51"/>
      <c r="C958" s="14"/>
    </row>
    <row r="959" customFormat="false" ht="13.8" hidden="false" customHeight="false" outlineLevel="0" collapsed="false">
      <c r="B959" s="51"/>
      <c r="C959" s="14"/>
    </row>
    <row r="960" customFormat="false" ht="13.8" hidden="false" customHeight="false" outlineLevel="0" collapsed="false">
      <c r="B960" s="51"/>
      <c r="C960" s="14"/>
    </row>
    <row r="961" customFormat="false" ht="13.8" hidden="false" customHeight="false" outlineLevel="0" collapsed="false">
      <c r="B961" s="51"/>
      <c r="C961" s="14"/>
    </row>
    <row r="962" customFormat="false" ht="13.8" hidden="false" customHeight="false" outlineLevel="0" collapsed="false">
      <c r="B962" s="51"/>
      <c r="C962" s="14"/>
    </row>
    <row r="963" customFormat="false" ht="13.8" hidden="false" customHeight="false" outlineLevel="0" collapsed="false">
      <c r="B963" s="51"/>
      <c r="C963" s="14"/>
    </row>
    <row r="964" customFormat="false" ht="13.8" hidden="false" customHeight="false" outlineLevel="0" collapsed="false">
      <c r="B964" s="51"/>
      <c r="C964" s="14"/>
    </row>
    <row r="965" customFormat="false" ht="13.8" hidden="false" customHeight="false" outlineLevel="0" collapsed="false">
      <c r="B965" s="51"/>
      <c r="C965" s="14"/>
    </row>
    <row r="966" customFormat="false" ht="13.8" hidden="false" customHeight="false" outlineLevel="0" collapsed="false">
      <c r="B966" s="51"/>
      <c r="C966" s="14"/>
    </row>
    <row r="967" customFormat="false" ht="13.8" hidden="false" customHeight="false" outlineLevel="0" collapsed="false">
      <c r="B967" s="51"/>
      <c r="C967" s="14"/>
    </row>
    <row r="968" customFormat="false" ht="13.8" hidden="false" customHeight="false" outlineLevel="0" collapsed="false">
      <c r="B968" s="51"/>
      <c r="C968" s="14"/>
    </row>
    <row r="969" customFormat="false" ht="13.8" hidden="false" customHeight="false" outlineLevel="0" collapsed="false">
      <c r="B969" s="51"/>
    </row>
    <row r="970" customFormat="false" ht="12.8" hidden="false" customHeight="false" outlineLevel="0" collapsed="false"/>
    <row r="971" customFormat="false" ht="12.8" hidden="false" customHeight="false" outlineLevel="0" collapsed="false"/>
    <row r="972" customFormat="false" ht="12.8" hidden="false" customHeight="false" outlineLevel="0" collapsed="false"/>
    <row r="973" customFormat="false" ht="12.8" hidden="false" customHeight="false" outlineLevel="0" collapsed="false"/>
    <row r="974" customFormat="false" ht="12.8" hidden="false" customHeight="false" outlineLevel="0" collapsed="false"/>
    <row r="975" customFormat="false" ht="12.8" hidden="false" customHeight="false" outlineLevel="0" collapsed="false"/>
    <row r="976" customFormat="false" ht="12.8" hidden="false" customHeight="false" outlineLevel="0" collapsed="false"/>
    <row r="977" customFormat="false" ht="12.8" hidden="false" customHeight="false" outlineLevel="0" collapsed="false"/>
    <row r="978" customFormat="false" ht="12.8" hidden="false" customHeight="false" outlineLevel="0" collapsed="false"/>
    <row r="979" customFormat="false" ht="12.8" hidden="false" customHeight="false" outlineLevel="0" collapsed="false"/>
    <row r="980" customFormat="false" ht="12.8" hidden="false" customHeight="false" outlineLevel="0" collapsed="false"/>
    <row r="981" customFormat="false" ht="12.8" hidden="false" customHeight="fals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8">
    <mergeCell ref="A2:C2"/>
    <mergeCell ref="A3:A9"/>
    <mergeCell ref="C3:C9"/>
    <mergeCell ref="A10:A15"/>
    <mergeCell ref="C10:C15"/>
    <mergeCell ref="A16:A22"/>
    <mergeCell ref="C16:C22"/>
    <mergeCell ref="A23:C23"/>
    <mergeCell ref="A24:A29"/>
    <mergeCell ref="C24:C29"/>
    <mergeCell ref="A30:A35"/>
    <mergeCell ref="C30:C35"/>
    <mergeCell ref="A36:A41"/>
    <mergeCell ref="C36:C41"/>
    <mergeCell ref="A42:A47"/>
    <mergeCell ref="C42:C47"/>
    <mergeCell ref="A48:A53"/>
    <mergeCell ref="C48:C5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3" t="s">
        <v>632</v>
      </c>
      <c r="B2" s="6" t="s">
        <v>633</v>
      </c>
      <c r="C2" s="6" t="n">
        <v>30</v>
      </c>
      <c r="D2" s="6" t="e">
        <f aca="false">#REF!</f>
        <v>#REF!</v>
      </c>
      <c r="E2" s="7" t="e">
        <f aca="false">D2/1000*C2</f>
        <v>#REF!</v>
      </c>
      <c r="F2" s="9" t="e">
        <f aca="false">SUM(E2:E7)</f>
        <v>#REF!</v>
      </c>
      <c r="G2" s="9" t="n">
        <v>700</v>
      </c>
      <c r="H2" s="9" t="e">
        <f aca="false">(G2-F2)/F2*100</f>
        <v>#REF!</v>
      </c>
    </row>
    <row r="3" customFormat="false" ht="15.75" hidden="false" customHeight="false" outlineLevel="0" collapsed="false">
      <c r="A3" s="3"/>
      <c r="B3" s="6" t="s">
        <v>634</v>
      </c>
      <c r="C3" s="6" t="n">
        <v>20</v>
      </c>
      <c r="D3" s="6" t="e">
        <f aca="false">#REF!</f>
        <v>#REF!</v>
      </c>
      <c r="E3" s="7" t="e">
        <f aca="false">D3/1000*C3</f>
        <v>#REF!</v>
      </c>
      <c r="F3" s="9"/>
      <c r="G3" s="9"/>
      <c r="H3" s="9"/>
    </row>
    <row r="4" customFormat="false" ht="15.75" hidden="false" customHeight="false" outlineLevel="0" collapsed="false">
      <c r="A4" s="3"/>
      <c r="B4" s="6" t="s">
        <v>256</v>
      </c>
      <c r="C4" s="6" t="n">
        <v>100</v>
      </c>
      <c r="D4" s="6" t="e">
        <f aca="false">#REF!</f>
        <v>#REF!</v>
      </c>
      <c r="E4" s="7" t="e">
        <f aca="false">D4/1000*C4</f>
        <v>#REF!</v>
      </c>
      <c r="F4" s="9"/>
      <c r="G4" s="9"/>
      <c r="H4" s="9"/>
    </row>
    <row r="5" customFormat="false" ht="15.75" hidden="false" customHeight="false" outlineLevel="0" collapsed="false">
      <c r="A5" s="3"/>
      <c r="B5" s="6" t="s">
        <v>635</v>
      </c>
      <c r="C5" s="6" t="n">
        <v>30</v>
      </c>
      <c r="D5" s="6" t="e">
        <f aca="false">#REF!</f>
        <v>#REF!</v>
      </c>
      <c r="E5" s="7" t="e">
        <f aca="false">D5/1000*C5</f>
        <v>#REF!</v>
      </c>
      <c r="F5" s="9"/>
      <c r="G5" s="9"/>
      <c r="H5" s="9"/>
    </row>
    <row r="6" customFormat="false" ht="15.75" hidden="false" customHeight="false" outlineLevel="0" collapsed="false">
      <c r="A6" s="3"/>
      <c r="B6" s="6" t="s">
        <v>66</v>
      </c>
      <c r="C6" s="6" t="n">
        <v>40</v>
      </c>
      <c r="D6" s="6" t="n">
        <v>250</v>
      </c>
      <c r="E6" s="7" t="n">
        <f aca="false">D6/1000*C6</f>
        <v>10</v>
      </c>
      <c r="F6" s="9"/>
      <c r="G6" s="9"/>
      <c r="H6" s="9"/>
    </row>
    <row r="7" customFormat="false" ht="15.75" hidden="false" customHeight="false" outlineLevel="0" collapsed="false">
      <c r="A7" s="3"/>
      <c r="B7" s="6" t="s">
        <v>62</v>
      </c>
      <c r="C7" s="6" t="n">
        <v>15</v>
      </c>
      <c r="D7" s="6" t="n">
        <v>250</v>
      </c>
      <c r="E7" s="7" t="n">
        <f aca="false">D7/1000*C7</f>
        <v>3.75</v>
      </c>
      <c r="F7" s="9"/>
      <c r="G7" s="9"/>
      <c r="H7" s="9"/>
    </row>
    <row r="8" customFormat="false" ht="15.75" hidden="false" customHeight="false" outlineLevel="0" collapsed="false">
      <c r="A8" s="3" t="s">
        <v>636</v>
      </c>
      <c r="B8" s="6" t="s">
        <v>97</v>
      </c>
      <c r="C8" s="6" t="n">
        <v>40</v>
      </c>
      <c r="D8" s="6" t="e">
        <f aca="false">#REF!</f>
        <v>#REF!</v>
      </c>
      <c r="E8" s="7" t="e">
        <f aca="false">D8/1000*C8</f>
        <v>#REF!</v>
      </c>
      <c r="F8" s="15" t="e">
        <f aca="false">SUM(E8:E12)</f>
        <v>#REF!</v>
      </c>
      <c r="G8" s="15" t="n">
        <v>600</v>
      </c>
      <c r="H8" s="9" t="e">
        <f aca="false">(G8-F8)/F8*100</f>
        <v>#REF!</v>
      </c>
    </row>
    <row r="9" customFormat="false" ht="15.75" hidden="false" customHeight="false" outlineLevel="0" collapsed="false">
      <c r="A9" s="3"/>
      <c r="B9" s="6" t="s">
        <v>637</v>
      </c>
      <c r="C9" s="6" t="n">
        <v>30</v>
      </c>
      <c r="D9" s="6" t="e">
        <f aca="false">#REF!</f>
        <v>#REF!</v>
      </c>
      <c r="E9" s="7" t="e">
        <f aca="false">D9/1000*C9</f>
        <v>#REF!</v>
      </c>
      <c r="F9" s="15"/>
      <c r="G9" s="15"/>
      <c r="H9" s="15"/>
    </row>
    <row r="10" customFormat="false" ht="15.75" hidden="false" customHeight="false" outlineLevel="0" collapsed="false">
      <c r="A10" s="3"/>
      <c r="B10" s="6" t="s">
        <v>67</v>
      </c>
      <c r="C10" s="6" t="n">
        <v>100</v>
      </c>
      <c r="D10" s="6" t="e">
        <f aca="false">#REF!</f>
        <v>#REF!</v>
      </c>
      <c r="E10" s="7" t="e">
        <f aca="false">D10/1000*C10</f>
        <v>#REF!</v>
      </c>
      <c r="F10" s="15"/>
      <c r="G10" s="15"/>
      <c r="H10" s="15"/>
    </row>
    <row r="11" customFormat="false" ht="15.75" hidden="false" customHeight="false" outlineLevel="0" collapsed="false">
      <c r="A11" s="3"/>
      <c r="B11" s="6" t="s">
        <v>60</v>
      </c>
      <c r="C11" s="6" t="n">
        <v>30</v>
      </c>
      <c r="D11" s="6" t="n">
        <v>250</v>
      </c>
      <c r="E11" s="7" t="n">
        <f aca="false">D11/1000*C11</f>
        <v>7.5</v>
      </c>
      <c r="F11" s="15"/>
      <c r="G11" s="15"/>
      <c r="H11" s="15"/>
    </row>
    <row r="12" customFormat="false" ht="15.75" hidden="false" customHeight="false" outlineLevel="0" collapsed="false">
      <c r="A12" s="3"/>
      <c r="B12" s="6" t="s">
        <v>68</v>
      </c>
      <c r="C12" s="6" t="n">
        <v>15</v>
      </c>
      <c r="D12" s="6" t="n">
        <v>250</v>
      </c>
      <c r="E12" s="7" t="n">
        <f aca="false">D12/1000*C12</f>
        <v>3.75</v>
      </c>
      <c r="F12" s="15"/>
      <c r="G12" s="15"/>
      <c r="H12" s="15"/>
    </row>
    <row r="13" customFormat="false" ht="15.75" hidden="false" customHeight="false" outlineLevel="0" collapsed="false">
      <c r="A13" s="3" t="s">
        <v>638</v>
      </c>
      <c r="B13" s="6" t="s">
        <v>639</v>
      </c>
      <c r="C13" s="6" t="n">
        <v>30</v>
      </c>
      <c r="D13" s="6" t="e">
        <f aca="false">#REF!</f>
        <v>#REF!</v>
      </c>
      <c r="E13" s="7" t="e">
        <f aca="false">D13/1000*C13</f>
        <v>#REF!</v>
      </c>
      <c r="F13" s="15" t="e">
        <f aca="false">SUM(E13:E18)</f>
        <v>#REF!</v>
      </c>
      <c r="G13" s="15" t="n">
        <v>900</v>
      </c>
      <c r="H13" s="9" t="e">
        <f aca="false">(G13-F13)/F13*100</f>
        <v>#REF!</v>
      </c>
    </row>
    <row r="14" customFormat="false" ht="15.75" hidden="false" customHeight="false" outlineLevel="0" collapsed="false">
      <c r="A14" s="3"/>
      <c r="B14" s="6" t="s">
        <v>259</v>
      </c>
      <c r="C14" s="6" t="n">
        <v>20</v>
      </c>
      <c r="D14" s="6" t="e">
        <f aca="false">#REF!</f>
        <v>#REF!</v>
      </c>
      <c r="E14" s="7" t="e">
        <f aca="false">D14/1000*C14</f>
        <v>#REF!</v>
      </c>
      <c r="F14" s="15"/>
      <c r="G14" s="15"/>
      <c r="H14" s="15"/>
    </row>
    <row r="15" customFormat="false" ht="15.75" hidden="false" customHeight="false" outlineLevel="0" collapsed="false">
      <c r="A15" s="3"/>
      <c r="B15" s="6" t="s">
        <v>199</v>
      </c>
      <c r="C15" s="6" t="n">
        <v>30</v>
      </c>
      <c r="D15" s="6" t="e">
        <f aca="false">#REF!</f>
        <v>#REF!</v>
      </c>
      <c r="E15" s="7" t="e">
        <f aca="false">D15/1000*C15</f>
        <v>#REF!</v>
      </c>
      <c r="F15" s="15"/>
      <c r="G15" s="15"/>
      <c r="H15" s="15"/>
    </row>
    <row r="16" customFormat="false" ht="15.75" hidden="false" customHeight="false" outlineLevel="0" collapsed="false">
      <c r="A16" s="3"/>
      <c r="B16" s="6" t="s">
        <v>60</v>
      </c>
      <c r="C16" s="6" t="n">
        <v>30</v>
      </c>
      <c r="D16" s="6" t="n">
        <v>250</v>
      </c>
      <c r="E16" s="7" t="n">
        <f aca="false">D16/1000*C16</f>
        <v>7.5</v>
      </c>
      <c r="F16" s="15"/>
      <c r="G16" s="15"/>
      <c r="H16" s="15"/>
    </row>
    <row r="17" customFormat="false" ht="15.75" hidden="false" customHeight="false" outlineLevel="0" collapsed="false">
      <c r="A17" s="3"/>
      <c r="B17" s="6" t="s">
        <v>640</v>
      </c>
      <c r="C17" s="6" t="n">
        <v>30</v>
      </c>
      <c r="D17" s="6" t="e">
        <f aca="false">#REF!</f>
        <v>#REF!</v>
      </c>
      <c r="E17" s="7" t="e">
        <f aca="false">D17/1000*C17</f>
        <v>#REF!</v>
      </c>
      <c r="F17" s="15"/>
      <c r="G17" s="15"/>
      <c r="H17" s="15"/>
    </row>
    <row r="18" customFormat="false" ht="15.75" hidden="false" customHeight="false" outlineLevel="0" collapsed="false">
      <c r="A18" s="3"/>
      <c r="B18" s="6" t="s">
        <v>641</v>
      </c>
      <c r="C18" s="6" t="n">
        <v>5</v>
      </c>
      <c r="D18" s="6" t="n">
        <v>4280</v>
      </c>
      <c r="E18" s="7" t="n">
        <f aca="false">D18/1000*C18</f>
        <v>21.4</v>
      </c>
      <c r="F18" s="15"/>
      <c r="G18" s="15"/>
      <c r="H18" s="15"/>
    </row>
    <row r="19" customFormat="false" ht="15.75" hidden="false" customHeight="false" outlineLevel="0" collapsed="false">
      <c r="A19" s="16"/>
      <c r="B19" s="16"/>
      <c r="C19" s="6"/>
      <c r="D19" s="6"/>
      <c r="E19" s="7"/>
      <c r="F19" s="6"/>
      <c r="G19" s="6"/>
      <c r="H19" s="6"/>
    </row>
    <row r="20" customFormat="false" ht="15.75" hidden="false" customHeight="false" outlineLevel="0" collapsed="false">
      <c r="A20" s="3" t="s">
        <v>51</v>
      </c>
      <c r="B20" s="3"/>
      <c r="C20" s="3"/>
      <c r="D20" s="6"/>
      <c r="E20" s="7"/>
      <c r="F20" s="6"/>
      <c r="G20" s="6"/>
      <c r="H20" s="6"/>
    </row>
    <row r="21" customFormat="false" ht="15.75" hidden="false" customHeight="false" outlineLevel="0" collapsed="false">
      <c r="A21" s="3" t="s">
        <v>642</v>
      </c>
      <c r="B21" s="6" t="s">
        <v>87</v>
      </c>
      <c r="C21" s="6" t="n">
        <v>40</v>
      </c>
      <c r="D21" s="6" t="e">
        <f aca="false">#REF!</f>
        <v>#REF!</v>
      </c>
      <c r="E21" s="7" t="e">
        <f aca="false">D21/1000*C21</f>
        <v>#REF!</v>
      </c>
      <c r="F21" s="15" t="e">
        <f aca="false">SUM(E21:E24)</f>
        <v>#REF!</v>
      </c>
      <c r="G21" s="15" t="n">
        <v>1000</v>
      </c>
      <c r="H21" s="18" t="e">
        <f aca="false">(G21-F21)/F21*100</f>
        <v>#REF!</v>
      </c>
    </row>
    <row r="22" customFormat="false" ht="15.75" hidden="false" customHeight="false" outlineLevel="0" collapsed="false">
      <c r="A22" s="3"/>
      <c r="B22" s="6" t="s">
        <v>32</v>
      </c>
      <c r="C22" s="6" t="n">
        <v>40</v>
      </c>
      <c r="D22" s="6" t="e">
        <f aca="false">#REF!</f>
        <v>#REF!</v>
      </c>
      <c r="E22" s="7" t="e">
        <f aca="false">D22/1000*C22</f>
        <v>#REF!</v>
      </c>
      <c r="F22" s="15"/>
      <c r="G22" s="15"/>
      <c r="H22" s="15"/>
    </row>
    <row r="23" customFormat="false" ht="15.75" hidden="false" customHeight="false" outlineLevel="0" collapsed="false">
      <c r="A23" s="3"/>
      <c r="B23" s="6" t="s">
        <v>53</v>
      </c>
      <c r="C23" s="6" t="n">
        <v>80</v>
      </c>
      <c r="D23" s="6" t="n">
        <v>250</v>
      </c>
      <c r="E23" s="7" t="n">
        <f aca="false">D23/1000*C23</f>
        <v>20</v>
      </c>
      <c r="F23" s="15"/>
      <c r="G23" s="15"/>
      <c r="H23" s="15"/>
    </row>
    <row r="24" customFormat="false" ht="15.75" hidden="false" customHeight="false" outlineLevel="0" collapsed="false">
      <c r="A24" s="3"/>
      <c r="B24" s="6" t="s">
        <v>643</v>
      </c>
      <c r="C24" s="6" t="n">
        <v>40</v>
      </c>
      <c r="D24" s="6" t="e">
        <f aca="false">#REF!</f>
        <v>#REF!</v>
      </c>
      <c r="E24" s="7" t="e">
        <f aca="false">D24/1000*C24</f>
        <v>#REF!</v>
      </c>
      <c r="F24" s="15"/>
      <c r="G24" s="15"/>
      <c r="H24" s="15"/>
    </row>
    <row r="25" customFormat="false" ht="15.75" hidden="false" customHeight="false" outlineLevel="0" collapsed="false">
      <c r="C25" s="14"/>
      <c r="D25" s="14"/>
      <c r="E25" s="14"/>
      <c r="F25" s="14"/>
      <c r="G25" s="14"/>
      <c r="H25" s="14"/>
    </row>
    <row r="26" customFormat="false" ht="15.75" hidden="false" customHeight="false" outlineLevel="0" collapsed="false">
      <c r="C26" s="14"/>
      <c r="D26" s="14"/>
      <c r="E26" s="14"/>
      <c r="F26" s="14"/>
      <c r="G26" s="14"/>
      <c r="H26" s="14"/>
    </row>
    <row r="27" customFormat="false" ht="15.75" hidden="false" customHeight="false" outlineLevel="0" collapsed="false">
      <c r="C27" s="14"/>
      <c r="D27" s="14"/>
      <c r="E27" s="14"/>
      <c r="F27" s="14"/>
      <c r="G27" s="14"/>
      <c r="H27" s="14"/>
    </row>
    <row r="28" customFormat="false" ht="15.75" hidden="false" customHeight="false" outlineLevel="0" collapsed="false">
      <c r="C28" s="14"/>
      <c r="D28" s="14"/>
      <c r="E28" s="14"/>
      <c r="F28" s="14"/>
      <c r="G28" s="14"/>
      <c r="H28" s="14"/>
    </row>
    <row r="29" customFormat="false" ht="15.75" hidden="false" customHeight="false" outlineLevel="0" collapsed="false">
      <c r="C29" s="14"/>
      <c r="D29" s="14"/>
      <c r="E29" s="14"/>
      <c r="F29" s="14"/>
      <c r="G29" s="14"/>
      <c r="H29" s="14"/>
    </row>
    <row r="30" customFormat="false" ht="15.75" hidden="false" customHeight="false" outlineLevel="0" collapsed="false">
      <c r="C30" s="14"/>
      <c r="D30" s="14"/>
      <c r="E30" s="14"/>
      <c r="F30" s="14"/>
      <c r="G30" s="14"/>
      <c r="H30" s="14"/>
    </row>
    <row r="31" customFormat="false" ht="15.75" hidden="false" customHeight="false" outlineLevel="0" collapsed="false">
      <c r="C31" s="14"/>
      <c r="D31" s="14"/>
      <c r="E31" s="14"/>
      <c r="F31" s="14"/>
      <c r="G31" s="14"/>
      <c r="H31" s="14"/>
    </row>
    <row r="32" customFormat="false" ht="15.75" hidden="false" customHeight="false" outlineLevel="0" collapsed="false">
      <c r="C32" s="14"/>
      <c r="D32" s="14"/>
      <c r="E32" s="14"/>
      <c r="F32" s="14"/>
      <c r="G32" s="14"/>
      <c r="H32" s="14"/>
    </row>
    <row r="33" customFormat="false" ht="15.75" hidden="false" customHeight="false" outlineLevel="0" collapsed="false">
      <c r="C33" s="14"/>
      <c r="D33" s="14"/>
      <c r="E33" s="14"/>
      <c r="F33" s="14"/>
      <c r="G33" s="14"/>
      <c r="H33" s="14"/>
    </row>
    <row r="34" customFormat="false" ht="15.75" hidden="false" customHeight="false" outlineLevel="0" collapsed="false">
      <c r="C34" s="14"/>
      <c r="D34" s="14"/>
      <c r="E34" s="14"/>
      <c r="F34" s="14"/>
      <c r="G34" s="14"/>
      <c r="H34" s="14"/>
    </row>
    <row r="35" customFormat="false" ht="15.75" hidden="false" customHeight="false" outlineLevel="0" collapsed="false">
      <c r="C35" s="14"/>
      <c r="D35" s="14"/>
      <c r="E35" s="14"/>
      <c r="F35" s="14"/>
      <c r="G35" s="14"/>
      <c r="H35" s="14"/>
    </row>
    <row r="36" customFormat="false" ht="15.75" hidden="false" customHeight="false" outlineLevel="0" collapsed="false">
      <c r="C36" s="14"/>
      <c r="D36" s="14"/>
      <c r="E36" s="14"/>
      <c r="F36" s="14"/>
      <c r="G36" s="14"/>
      <c r="H36" s="14"/>
    </row>
    <row r="37" customFormat="false" ht="15.75" hidden="false" customHeight="false" outlineLevel="0" collapsed="false">
      <c r="C37" s="14"/>
      <c r="D37" s="14"/>
      <c r="E37" s="14"/>
      <c r="F37" s="14"/>
      <c r="G37" s="14"/>
      <c r="H37" s="14"/>
    </row>
    <row r="38" customFormat="false" ht="15.75" hidden="false" customHeight="false" outlineLevel="0" collapsed="false">
      <c r="C38" s="14"/>
      <c r="D38" s="14"/>
      <c r="E38" s="14"/>
      <c r="F38" s="14"/>
      <c r="G38" s="14"/>
      <c r="H38" s="14"/>
    </row>
    <row r="39" customFormat="false" ht="15.75" hidden="false" customHeight="false" outlineLevel="0" collapsed="false">
      <c r="C39" s="14"/>
      <c r="D39" s="14"/>
      <c r="E39" s="14"/>
      <c r="F39" s="14"/>
      <c r="G39" s="14"/>
      <c r="H39" s="14"/>
    </row>
    <row r="40" customFormat="false" ht="15.75" hidden="false" customHeight="false" outlineLevel="0" collapsed="false">
      <c r="C40" s="14"/>
      <c r="D40" s="14"/>
      <c r="E40" s="14"/>
      <c r="F40" s="14"/>
      <c r="G40" s="14"/>
      <c r="H40" s="14"/>
    </row>
    <row r="41" customFormat="false" ht="15.75" hidden="false" customHeight="false" outlineLevel="0" collapsed="false">
      <c r="C41" s="14"/>
      <c r="D41" s="14"/>
      <c r="E41" s="14"/>
      <c r="F41" s="14"/>
      <c r="G41" s="14"/>
      <c r="H41" s="14"/>
    </row>
    <row r="42" customFormat="false" ht="15.75" hidden="false" customHeight="false" outlineLevel="0" collapsed="false">
      <c r="C42" s="14"/>
      <c r="D42" s="14"/>
      <c r="E42" s="14"/>
      <c r="F42" s="14"/>
      <c r="G42" s="14"/>
      <c r="H42" s="14"/>
    </row>
    <row r="43" customFormat="false" ht="15.75" hidden="false" customHeight="false" outlineLevel="0" collapsed="false">
      <c r="C43" s="14"/>
      <c r="D43" s="14"/>
      <c r="E43" s="14"/>
      <c r="F43" s="14"/>
      <c r="G43" s="14"/>
      <c r="H43" s="14"/>
    </row>
    <row r="44" customFormat="false" ht="15.75" hidden="false" customHeight="false" outlineLevel="0" collapsed="false">
      <c r="C44" s="14"/>
      <c r="D44" s="14"/>
      <c r="E44" s="14"/>
      <c r="F44" s="14"/>
      <c r="G44" s="14"/>
      <c r="H44" s="14"/>
    </row>
    <row r="45" customFormat="false" ht="15.75" hidden="false" customHeight="false" outlineLevel="0" collapsed="false">
      <c r="C45" s="14"/>
      <c r="D45" s="14"/>
      <c r="E45" s="14"/>
      <c r="F45" s="14"/>
      <c r="G45" s="14"/>
      <c r="H45" s="14"/>
    </row>
    <row r="46" customFormat="false" ht="15.75" hidden="false" customHeight="false" outlineLevel="0" collapsed="false">
      <c r="C46" s="14"/>
      <c r="D46" s="14"/>
      <c r="E46" s="14"/>
      <c r="F46" s="14"/>
      <c r="G46" s="14"/>
      <c r="H46" s="14"/>
    </row>
    <row r="47" customFormat="false" ht="15.75" hidden="false" customHeight="false" outlineLevel="0" collapsed="false">
      <c r="C47" s="14"/>
      <c r="D47" s="14"/>
      <c r="E47" s="14"/>
      <c r="F47" s="14"/>
      <c r="G47" s="14"/>
      <c r="H47" s="14"/>
    </row>
    <row r="48" customFormat="false" ht="15.75" hidden="false" customHeight="false" outlineLevel="0" collapsed="false">
      <c r="C48" s="14"/>
      <c r="D48" s="14"/>
      <c r="E48" s="14"/>
      <c r="F48" s="14"/>
      <c r="G48" s="14"/>
      <c r="H48" s="14"/>
    </row>
    <row r="49" customFormat="false" ht="15.75" hidden="false" customHeight="false" outlineLevel="0" collapsed="false">
      <c r="C49" s="14"/>
      <c r="D49" s="14"/>
      <c r="E49" s="14"/>
      <c r="F49" s="14"/>
      <c r="G49" s="14"/>
      <c r="H49" s="14"/>
    </row>
    <row r="50" customFormat="false" ht="15.75" hidden="false" customHeight="false" outlineLevel="0" collapsed="false">
      <c r="C50" s="14"/>
      <c r="D50" s="14"/>
      <c r="E50" s="14"/>
      <c r="F50" s="14"/>
      <c r="G50" s="14"/>
      <c r="H50" s="14"/>
    </row>
    <row r="51" customFormat="false" ht="15.75" hidden="false" customHeight="false" outlineLevel="0" collapsed="false">
      <c r="C51" s="14"/>
      <c r="D51" s="14"/>
      <c r="E51" s="14"/>
      <c r="F51" s="14"/>
      <c r="G51" s="14"/>
      <c r="H51" s="14"/>
    </row>
    <row r="52" customFormat="false" ht="15.75" hidden="false" customHeight="false" outlineLevel="0" collapsed="false">
      <c r="C52" s="14"/>
      <c r="D52" s="14"/>
      <c r="E52" s="14"/>
      <c r="F52" s="14"/>
      <c r="G52" s="14"/>
      <c r="H52" s="14"/>
    </row>
    <row r="53" customFormat="false" ht="15.75" hidden="false" customHeight="false" outlineLevel="0" collapsed="false">
      <c r="C53" s="14"/>
      <c r="D53" s="14"/>
      <c r="E53" s="14"/>
      <c r="F53" s="14"/>
      <c r="G53" s="14"/>
      <c r="H53" s="14"/>
    </row>
    <row r="54" customFormat="false" ht="15.75" hidden="false" customHeight="false" outlineLevel="0" collapsed="false">
      <c r="C54" s="14"/>
      <c r="D54" s="14"/>
      <c r="E54" s="14"/>
      <c r="F54" s="14"/>
      <c r="G54" s="14"/>
      <c r="H54" s="14"/>
    </row>
    <row r="55" customFormat="false" ht="15.75" hidden="false" customHeight="false" outlineLevel="0" collapsed="false">
      <c r="C55" s="14"/>
      <c r="D55" s="14"/>
      <c r="E55" s="14"/>
      <c r="F55" s="14"/>
      <c r="G55" s="14"/>
      <c r="H55" s="14"/>
    </row>
    <row r="56" customFormat="false" ht="15.75" hidden="false" customHeight="false" outlineLevel="0" collapsed="false">
      <c r="C56" s="14"/>
      <c r="D56" s="14"/>
      <c r="E56" s="14"/>
      <c r="F56" s="14"/>
      <c r="G56" s="14"/>
      <c r="H56" s="14"/>
    </row>
    <row r="57" customFormat="false" ht="15.75" hidden="false" customHeight="false" outlineLevel="0" collapsed="false">
      <c r="C57" s="14"/>
      <c r="D57" s="14"/>
      <c r="E57" s="14"/>
      <c r="F57" s="14"/>
      <c r="G57" s="14"/>
      <c r="H57" s="14"/>
    </row>
    <row r="58" customFormat="false" ht="15.75" hidden="false" customHeight="false" outlineLevel="0" collapsed="false">
      <c r="C58" s="14"/>
      <c r="D58" s="14"/>
      <c r="E58" s="14"/>
      <c r="F58" s="14"/>
      <c r="G58" s="14"/>
      <c r="H58" s="14"/>
    </row>
    <row r="59" customFormat="false" ht="15.75" hidden="false" customHeight="false" outlineLevel="0" collapsed="false">
      <c r="C59" s="14"/>
      <c r="D59" s="14"/>
      <c r="E59" s="14"/>
      <c r="F59" s="14"/>
      <c r="G59" s="14"/>
      <c r="H59" s="14"/>
    </row>
    <row r="60" customFormat="false" ht="15.75" hidden="false" customHeight="false" outlineLevel="0" collapsed="false">
      <c r="C60" s="14"/>
      <c r="D60" s="14"/>
      <c r="E60" s="14"/>
      <c r="F60" s="14"/>
      <c r="G60" s="14"/>
      <c r="H60" s="14"/>
    </row>
    <row r="61" customFormat="false" ht="15.75" hidden="false" customHeight="false" outlineLevel="0" collapsed="false">
      <c r="C61" s="14"/>
      <c r="D61" s="14"/>
      <c r="E61" s="14"/>
      <c r="F61" s="14"/>
      <c r="G61" s="14"/>
      <c r="H61" s="14"/>
    </row>
    <row r="62" customFormat="false" ht="15.75" hidden="false" customHeight="false" outlineLevel="0" collapsed="false">
      <c r="C62" s="14"/>
      <c r="D62" s="14"/>
      <c r="E62" s="14"/>
      <c r="F62" s="14"/>
      <c r="G62" s="14"/>
      <c r="H62" s="14"/>
    </row>
    <row r="63" customFormat="false" ht="15.75" hidden="false" customHeight="false" outlineLevel="0" collapsed="false">
      <c r="C63" s="14"/>
      <c r="D63" s="14"/>
      <c r="E63" s="14"/>
      <c r="F63" s="14"/>
      <c r="G63" s="14"/>
      <c r="H63" s="14"/>
    </row>
    <row r="64" customFormat="false" ht="15.75" hidden="false" customHeight="false" outlineLevel="0" collapsed="false">
      <c r="C64" s="14"/>
      <c r="D64" s="14"/>
      <c r="E64" s="14"/>
      <c r="F64" s="14"/>
      <c r="G64" s="14"/>
      <c r="H64" s="14"/>
    </row>
    <row r="65" customFormat="false" ht="15.75" hidden="false" customHeight="false" outlineLevel="0" collapsed="false">
      <c r="C65" s="14"/>
      <c r="D65" s="14"/>
      <c r="E65" s="14"/>
      <c r="F65" s="14"/>
      <c r="G65" s="14"/>
      <c r="H65" s="14"/>
    </row>
    <row r="66" customFormat="false" ht="15.75" hidden="false" customHeight="false" outlineLevel="0" collapsed="false">
      <c r="C66" s="14"/>
      <c r="D66" s="14"/>
      <c r="E66" s="14"/>
      <c r="F66" s="14"/>
      <c r="G66" s="14"/>
      <c r="H66" s="14"/>
    </row>
    <row r="67" customFormat="false" ht="15.75" hidden="false" customHeight="false" outlineLevel="0" collapsed="false">
      <c r="C67" s="14"/>
      <c r="D67" s="14"/>
      <c r="E67" s="14"/>
      <c r="F67" s="14"/>
      <c r="G67" s="14"/>
      <c r="H67" s="14"/>
    </row>
    <row r="68" customFormat="false" ht="15.75" hidden="false" customHeight="false" outlineLevel="0" collapsed="false">
      <c r="C68" s="14"/>
      <c r="D68" s="14"/>
      <c r="E68" s="14"/>
      <c r="F68" s="14"/>
      <c r="G68" s="14"/>
      <c r="H68" s="14"/>
    </row>
    <row r="69" customFormat="false" ht="15.75" hidden="false" customHeight="false" outlineLevel="0" collapsed="false">
      <c r="C69" s="14"/>
      <c r="D69" s="14"/>
      <c r="E69" s="14"/>
      <c r="F69" s="14"/>
      <c r="G69" s="14"/>
      <c r="H69" s="14"/>
    </row>
    <row r="70" customFormat="false" ht="15.75" hidden="false" customHeight="false" outlineLevel="0" collapsed="false">
      <c r="C70" s="14"/>
      <c r="D70" s="14"/>
      <c r="E70" s="14"/>
      <c r="F70" s="14"/>
      <c r="G70" s="14"/>
      <c r="H70" s="14"/>
    </row>
    <row r="71" customFormat="false" ht="15.75" hidden="false" customHeight="false" outlineLevel="0" collapsed="false">
      <c r="C71" s="14"/>
      <c r="D71" s="14"/>
      <c r="E71" s="14"/>
      <c r="F71" s="14"/>
      <c r="G71" s="14"/>
      <c r="H71" s="14"/>
    </row>
    <row r="72" customFormat="false" ht="15.75" hidden="false" customHeight="false" outlineLevel="0" collapsed="false">
      <c r="C72" s="14"/>
      <c r="D72" s="14"/>
      <c r="E72" s="14"/>
      <c r="F72" s="14"/>
      <c r="G72" s="14"/>
      <c r="H72" s="14"/>
    </row>
    <row r="73" customFormat="false" ht="15.75" hidden="false" customHeight="false" outlineLevel="0" collapsed="false">
      <c r="C73" s="14"/>
      <c r="D73" s="14"/>
      <c r="E73" s="14"/>
      <c r="F73" s="14"/>
      <c r="G73" s="14"/>
      <c r="H73" s="14"/>
    </row>
    <row r="74" customFormat="false" ht="15.75" hidden="false" customHeight="false" outlineLevel="0" collapsed="false">
      <c r="C74" s="14"/>
      <c r="D74" s="14"/>
      <c r="E74" s="14"/>
      <c r="F74" s="14"/>
      <c r="G74" s="14"/>
      <c r="H74" s="14"/>
    </row>
    <row r="75" customFormat="false" ht="15.75" hidden="false" customHeight="false" outlineLevel="0" collapsed="false">
      <c r="C75" s="14"/>
      <c r="D75" s="14"/>
      <c r="E75" s="14"/>
      <c r="F75" s="14"/>
      <c r="G75" s="14"/>
      <c r="H75" s="14"/>
    </row>
    <row r="76" customFormat="false" ht="15.75" hidden="false" customHeight="false" outlineLevel="0" collapsed="false">
      <c r="C76" s="14"/>
      <c r="D76" s="14"/>
      <c r="E76" s="14"/>
      <c r="F76" s="14"/>
      <c r="G76" s="14"/>
      <c r="H76" s="14"/>
    </row>
    <row r="77" customFormat="false" ht="15.75" hidden="false" customHeight="false" outlineLevel="0" collapsed="false">
      <c r="C77" s="14"/>
      <c r="D77" s="14"/>
      <c r="E77" s="14"/>
      <c r="F77" s="14"/>
      <c r="G77" s="14"/>
      <c r="H77" s="14"/>
    </row>
    <row r="78" customFormat="false" ht="15.75" hidden="false" customHeight="false" outlineLevel="0" collapsed="false">
      <c r="C78" s="14"/>
      <c r="D78" s="14"/>
      <c r="E78" s="14"/>
      <c r="F78" s="14"/>
      <c r="G78" s="14"/>
      <c r="H78" s="14"/>
    </row>
    <row r="79" customFormat="false" ht="15.75" hidden="false" customHeight="false" outlineLevel="0" collapsed="false">
      <c r="C79" s="14"/>
      <c r="D79" s="14"/>
      <c r="E79" s="14"/>
      <c r="F79" s="14"/>
      <c r="G79" s="14"/>
      <c r="H79" s="14"/>
    </row>
    <row r="80" customFormat="false" ht="15.75" hidden="false" customHeight="false" outlineLevel="0" collapsed="false">
      <c r="C80" s="14"/>
      <c r="D80" s="14"/>
      <c r="E80" s="14"/>
      <c r="F80" s="14"/>
      <c r="G80" s="14"/>
      <c r="H80" s="14"/>
    </row>
    <row r="81" customFormat="false" ht="15.75" hidden="false" customHeight="false" outlineLevel="0" collapsed="false">
      <c r="C81" s="14"/>
      <c r="D81" s="14"/>
      <c r="E81" s="14"/>
      <c r="F81" s="14"/>
      <c r="G81" s="14"/>
      <c r="H81" s="14"/>
    </row>
    <row r="82" customFormat="false" ht="15.75" hidden="false" customHeight="false" outlineLevel="0" collapsed="false">
      <c r="C82" s="14"/>
      <c r="D82" s="14"/>
      <c r="E82" s="14"/>
      <c r="F82" s="14"/>
      <c r="G82" s="14"/>
      <c r="H82" s="14"/>
    </row>
    <row r="83" customFormat="false" ht="15.75" hidden="false" customHeight="false" outlineLevel="0" collapsed="false">
      <c r="C83" s="14"/>
      <c r="D83" s="14"/>
      <c r="E83" s="14"/>
      <c r="F83" s="14"/>
      <c r="G83" s="14"/>
      <c r="H83" s="14"/>
    </row>
    <row r="84" customFormat="false" ht="15.75" hidden="false" customHeight="false" outlineLevel="0" collapsed="false">
      <c r="C84" s="14"/>
      <c r="D84" s="14"/>
      <c r="E84" s="14"/>
      <c r="F84" s="14"/>
      <c r="G84" s="14"/>
      <c r="H84" s="14"/>
    </row>
    <row r="85" customFormat="false" ht="15.75" hidden="false" customHeight="false" outlineLevel="0" collapsed="false">
      <c r="C85" s="14"/>
      <c r="D85" s="14"/>
      <c r="E85" s="14"/>
      <c r="F85" s="14"/>
      <c r="G85" s="14"/>
      <c r="H85" s="14"/>
    </row>
    <row r="86" customFormat="false" ht="15.75" hidden="false" customHeight="false" outlineLevel="0" collapsed="false">
      <c r="C86" s="14"/>
      <c r="D86" s="14"/>
      <c r="E86" s="14"/>
      <c r="F86" s="14"/>
      <c r="G86" s="14"/>
      <c r="H86" s="14"/>
    </row>
    <row r="87" customFormat="false" ht="15.75" hidden="false" customHeight="false" outlineLevel="0" collapsed="false">
      <c r="C87" s="14"/>
      <c r="D87" s="14"/>
      <c r="E87" s="14"/>
      <c r="F87" s="14"/>
      <c r="G87" s="14"/>
      <c r="H87" s="14"/>
    </row>
    <row r="88" customFormat="false" ht="15.75" hidden="false" customHeight="false" outlineLevel="0" collapsed="false">
      <c r="C88" s="14"/>
      <c r="D88" s="14"/>
      <c r="E88" s="14"/>
      <c r="F88" s="14"/>
      <c r="G88" s="14"/>
      <c r="H88" s="14"/>
    </row>
    <row r="89" customFormat="false" ht="15.75" hidden="false" customHeight="false" outlineLevel="0" collapsed="false">
      <c r="C89" s="14"/>
      <c r="D89" s="14"/>
      <c r="E89" s="14"/>
      <c r="F89" s="14"/>
      <c r="G89" s="14"/>
      <c r="H89" s="14"/>
    </row>
    <row r="90" customFormat="false" ht="15.75" hidden="false" customHeight="false" outlineLevel="0" collapsed="false">
      <c r="C90" s="14"/>
      <c r="D90" s="14"/>
      <c r="E90" s="14"/>
      <c r="F90" s="14"/>
      <c r="G90" s="14"/>
      <c r="H90" s="14"/>
    </row>
    <row r="91" customFormat="false" ht="15.75" hidden="false" customHeight="false" outlineLevel="0" collapsed="false">
      <c r="C91" s="14"/>
      <c r="D91" s="14"/>
      <c r="E91" s="14"/>
      <c r="F91" s="14"/>
      <c r="G91" s="14"/>
      <c r="H91" s="14"/>
    </row>
    <row r="92" customFormat="false" ht="15.75" hidden="false" customHeight="false" outlineLevel="0" collapsed="false"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C994" s="14"/>
      <c r="D994" s="14"/>
      <c r="E994" s="14"/>
      <c r="F994" s="14"/>
      <c r="G994" s="14"/>
      <c r="H994" s="14"/>
    </row>
    <row r="995" customFormat="false" ht="15.75" hidden="false" customHeight="false" outlineLevel="0" collapsed="false">
      <c r="C995" s="14"/>
      <c r="D995" s="14"/>
      <c r="E995" s="14"/>
      <c r="F995" s="14"/>
      <c r="G995" s="14"/>
      <c r="H995" s="14"/>
    </row>
    <row r="996" customFormat="false" ht="15.75" hidden="false" customHeight="false" outlineLevel="0" collapsed="false">
      <c r="C996" s="14"/>
      <c r="D996" s="14"/>
      <c r="E996" s="14"/>
      <c r="F996" s="14"/>
      <c r="G996" s="14"/>
      <c r="H996" s="14"/>
    </row>
    <row r="997" customFormat="false" ht="15.75" hidden="false" customHeight="false" outlineLevel="0" collapsed="false">
      <c r="C997" s="14"/>
      <c r="D997" s="14"/>
      <c r="E997" s="14"/>
      <c r="F997" s="14"/>
      <c r="G997" s="14"/>
      <c r="H997" s="14"/>
    </row>
    <row r="998" customFormat="false" ht="15.75" hidden="false" customHeight="false" outlineLevel="0" collapsed="false">
      <c r="C998" s="14"/>
      <c r="D998" s="14"/>
      <c r="E998" s="14"/>
      <c r="F998" s="14"/>
      <c r="G998" s="14"/>
      <c r="H998" s="14"/>
    </row>
    <row r="999" customFormat="false" ht="15.75" hidden="false" customHeight="false" outlineLevel="0" collapsed="false">
      <c r="C999" s="14"/>
      <c r="D999" s="14"/>
      <c r="E999" s="14"/>
      <c r="F999" s="14"/>
      <c r="G999" s="14"/>
      <c r="H999" s="14"/>
    </row>
    <row r="1000" customFormat="false" ht="15.75" hidden="false" customHeight="false" outlineLevel="0" collapsed="false">
      <c r="C1000" s="14"/>
      <c r="D1000" s="14"/>
      <c r="E1000" s="14"/>
      <c r="F1000" s="14"/>
      <c r="G1000" s="14"/>
      <c r="H1000" s="14"/>
    </row>
  </sheetData>
  <mergeCells count="17">
    <mergeCell ref="A2:A7"/>
    <mergeCell ref="F2:F7"/>
    <mergeCell ref="G2:G7"/>
    <mergeCell ref="H2:H7"/>
    <mergeCell ref="A8:A12"/>
    <mergeCell ref="F8:F12"/>
    <mergeCell ref="G8:G12"/>
    <mergeCell ref="H8:H12"/>
    <mergeCell ref="A13:A18"/>
    <mergeCell ref="F13:F18"/>
    <mergeCell ref="G13:G18"/>
    <mergeCell ref="H13:H18"/>
    <mergeCell ref="A20:C20"/>
    <mergeCell ref="A21:A24"/>
    <mergeCell ref="F21:F24"/>
    <mergeCell ref="G21:G24"/>
    <mergeCell ref="H21:H24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3.38"/>
    <col collapsed="false" customWidth="true" hidden="false" outlineLevel="0" max="2" min="2" style="0" width="37.37"/>
    <col collapsed="false" customWidth="true" hidden="false" outlineLevel="0" max="3" min="3" style="0" width="11.12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customFormat="false" ht="15.75" hidden="false" customHeight="false" outlineLevel="0" collapsed="false">
      <c r="A2" s="3" t="s">
        <v>644</v>
      </c>
      <c r="B2" s="34" t="s">
        <v>46</v>
      </c>
      <c r="C2" s="6" t="n">
        <v>20</v>
      </c>
      <c r="D2" s="6" t="e">
        <f aca="false">#REF!</f>
        <v>#REF!</v>
      </c>
      <c r="E2" s="7" t="e">
        <f aca="false">D2/1000*C2</f>
        <v>#REF!</v>
      </c>
      <c r="F2" s="9" t="e">
        <f aca="false">SUM(E2:E7)</f>
        <v>#REF!</v>
      </c>
      <c r="G2" s="9" t="n">
        <v>650</v>
      </c>
      <c r="H2" s="9" t="e">
        <f aca="false">(G2-F2)/F2*100</f>
        <v>#REF!</v>
      </c>
    </row>
    <row r="3" customFormat="false" ht="15.75" hidden="false" customHeight="false" outlineLevel="0" collapsed="false">
      <c r="A3" s="3"/>
      <c r="B3" s="5" t="s">
        <v>184</v>
      </c>
      <c r="C3" s="6" t="n">
        <v>25</v>
      </c>
      <c r="D3" s="6" t="e">
        <f aca="false">#REF!</f>
        <v>#REF!</v>
      </c>
      <c r="E3" s="7" t="e">
        <f aca="false">D3/1000*C3</f>
        <v>#REF!</v>
      </c>
      <c r="F3" s="9"/>
      <c r="G3" s="9"/>
      <c r="H3" s="9"/>
    </row>
    <row r="4" customFormat="false" ht="15.75" hidden="false" customHeight="false" outlineLevel="0" collapsed="false">
      <c r="A4" s="3"/>
      <c r="B4" s="5" t="s">
        <v>645</v>
      </c>
      <c r="C4" s="6" t="n">
        <v>20</v>
      </c>
      <c r="D4" s="6" t="e">
        <f aca="false">#REF!</f>
        <v>#REF!</v>
      </c>
      <c r="E4" s="7" t="e">
        <f aca="false">D4/1000*C4</f>
        <v>#REF!</v>
      </c>
      <c r="F4" s="9"/>
      <c r="G4" s="9"/>
      <c r="H4" s="9"/>
    </row>
    <row r="5" customFormat="false" ht="15.75" hidden="false" customHeight="false" outlineLevel="0" collapsed="false">
      <c r="A5" s="3"/>
      <c r="B5" s="5" t="s">
        <v>186</v>
      </c>
      <c r="C5" s="6" t="n">
        <v>30</v>
      </c>
      <c r="D5" s="6" t="e">
        <f aca="false">#REF!</f>
        <v>#REF!</v>
      </c>
      <c r="E5" s="7" t="e">
        <f aca="false">D5/1000*C5</f>
        <v>#REF!</v>
      </c>
      <c r="F5" s="9"/>
      <c r="G5" s="9"/>
      <c r="H5" s="9"/>
    </row>
    <row r="6" customFormat="false" ht="15.75" hidden="false" customHeight="false" outlineLevel="0" collapsed="false">
      <c r="A6" s="3"/>
      <c r="B6" s="6"/>
      <c r="C6" s="6"/>
      <c r="D6" s="6"/>
      <c r="E6" s="7" t="n">
        <f aca="false">D6/1000*C6</f>
        <v>0</v>
      </c>
      <c r="F6" s="9"/>
      <c r="G6" s="9"/>
      <c r="H6" s="9"/>
    </row>
    <row r="7" customFormat="false" ht="15.75" hidden="false" customHeight="false" outlineLevel="0" collapsed="false">
      <c r="A7" s="4" t="s">
        <v>646</v>
      </c>
      <c r="B7" s="6" t="s">
        <v>639</v>
      </c>
      <c r="C7" s="6" t="n">
        <v>30</v>
      </c>
      <c r="D7" s="6" t="e">
        <f aca="false">#REF!</f>
        <v>#REF!</v>
      </c>
      <c r="E7" s="7" t="e">
        <f aca="false">D7/1000*C7</f>
        <v>#REF!</v>
      </c>
      <c r="F7" s="9"/>
      <c r="G7" s="9"/>
      <c r="H7" s="9"/>
    </row>
    <row r="8" customFormat="false" ht="15.75" hidden="false" customHeight="false" outlineLevel="0" collapsed="false">
      <c r="A8" s="4"/>
      <c r="B8" s="5" t="s">
        <v>647</v>
      </c>
      <c r="C8" s="6" t="n">
        <v>40</v>
      </c>
      <c r="D8" s="6" t="e">
        <f aca="false">#REF!</f>
        <v>#REF!</v>
      </c>
      <c r="E8" s="7" t="e">
        <f aca="false">D8/1000*C8</f>
        <v>#REF!</v>
      </c>
      <c r="F8" s="15" t="e">
        <f aca="false">SUM(E8:E12)</f>
        <v>#REF!</v>
      </c>
      <c r="G8" s="15" t="n">
        <v>650</v>
      </c>
      <c r="H8" s="9" t="e">
        <f aca="false">(G8-F8)/F8*100</f>
        <v>#REF!</v>
      </c>
    </row>
    <row r="9" customFormat="false" ht="15.75" hidden="false" customHeight="false" outlineLevel="0" collapsed="false">
      <c r="A9" s="4"/>
      <c r="B9" s="21" t="s">
        <v>75</v>
      </c>
      <c r="C9" s="6" t="n">
        <v>20</v>
      </c>
      <c r="D9" s="6" t="e">
        <f aca="false">#REF!</f>
        <v>#REF!</v>
      </c>
      <c r="E9" s="7" t="e">
        <f aca="false">D9/1000*C9</f>
        <v>#REF!</v>
      </c>
      <c r="F9" s="15"/>
      <c r="G9" s="15"/>
      <c r="H9" s="15"/>
    </row>
    <row r="10" customFormat="false" ht="15.75" hidden="false" customHeight="false" outlineLevel="0" collapsed="false">
      <c r="A10" s="4"/>
      <c r="B10" s="21" t="s">
        <v>60</v>
      </c>
      <c r="C10" s="6" t="n">
        <v>30</v>
      </c>
      <c r="D10" s="6" t="n">
        <v>250</v>
      </c>
      <c r="E10" s="7" t="n">
        <f aca="false">D10/1000*C10</f>
        <v>7.5</v>
      </c>
      <c r="F10" s="15"/>
      <c r="G10" s="15"/>
      <c r="H10" s="15"/>
    </row>
    <row r="11" customFormat="false" ht="15.75" hidden="false" customHeight="false" outlineLevel="0" collapsed="false">
      <c r="A11" s="4"/>
      <c r="B11" s="21" t="s">
        <v>249</v>
      </c>
      <c r="C11" s="6" t="n">
        <v>100</v>
      </c>
      <c r="D11" s="6" t="e">
        <f aca="false">#REF!</f>
        <v>#REF!</v>
      </c>
      <c r="E11" s="7" t="e">
        <f aca="false">D11/1000*C11</f>
        <v>#REF!</v>
      </c>
      <c r="F11" s="15"/>
      <c r="G11" s="15"/>
      <c r="H11" s="15"/>
    </row>
    <row r="12" customFormat="false" ht="15.75" hidden="false" customHeight="false" outlineLevel="0" collapsed="false">
      <c r="A12" s="4"/>
      <c r="B12" s="21" t="s">
        <v>68</v>
      </c>
      <c r="C12" s="6" t="n">
        <v>15</v>
      </c>
      <c r="D12" s="6" t="n">
        <v>250</v>
      </c>
      <c r="E12" s="7" t="n">
        <f aca="false">D12/1000*C12</f>
        <v>3.75</v>
      </c>
      <c r="F12" s="15"/>
      <c r="G12" s="15"/>
      <c r="H12" s="15"/>
    </row>
    <row r="13" customFormat="false" ht="15.75" hidden="false" customHeight="false" outlineLevel="0" collapsed="false">
      <c r="A13" s="4" t="s">
        <v>648</v>
      </c>
      <c r="B13" s="5" t="s">
        <v>649</v>
      </c>
      <c r="C13" s="6" t="n">
        <v>30</v>
      </c>
      <c r="D13" s="6" t="e">
        <f aca="false">#REF!</f>
        <v>#REF!</v>
      </c>
      <c r="E13" s="7" t="e">
        <f aca="false">D13/1000*C13</f>
        <v>#REF!</v>
      </c>
      <c r="F13" s="15" t="e">
        <f aca="false">SUM(E13:E18)</f>
        <v>#REF!</v>
      </c>
      <c r="G13" s="15" t="n">
        <v>650</v>
      </c>
      <c r="H13" s="9" t="e">
        <f aca="false">(G13-F13)/F13*100</f>
        <v>#REF!</v>
      </c>
    </row>
    <row r="14" customFormat="false" ht="15.75" hidden="false" customHeight="false" outlineLevel="0" collapsed="false">
      <c r="A14" s="4"/>
      <c r="B14" s="21" t="s">
        <v>251</v>
      </c>
      <c r="C14" s="6" t="n">
        <v>40</v>
      </c>
      <c r="D14" s="6" t="e">
        <f aca="false">#REF!</f>
        <v>#REF!</v>
      </c>
      <c r="E14" s="7" t="e">
        <f aca="false">D14/1000*C14</f>
        <v>#REF!</v>
      </c>
      <c r="F14" s="15"/>
      <c r="G14" s="15"/>
      <c r="H14" s="15"/>
    </row>
    <row r="15" customFormat="false" ht="15.75" hidden="false" customHeight="false" outlineLevel="0" collapsed="false">
      <c r="A15" s="4"/>
      <c r="B15" s="21" t="s">
        <v>101</v>
      </c>
      <c r="C15" s="6" t="n">
        <v>20</v>
      </c>
      <c r="D15" s="6" t="e">
        <f aca="false">#REF!</f>
        <v>#REF!</v>
      </c>
      <c r="E15" s="7" t="e">
        <f aca="false">D15/1000*C15</f>
        <v>#REF!</v>
      </c>
      <c r="F15" s="15"/>
      <c r="G15" s="15"/>
      <c r="H15" s="15"/>
    </row>
    <row r="16" customFormat="false" ht="15.75" hidden="false" customHeight="false" outlineLevel="0" collapsed="false">
      <c r="A16" s="4"/>
      <c r="B16" s="21" t="s">
        <v>49</v>
      </c>
      <c r="C16" s="6" t="n">
        <v>20</v>
      </c>
      <c r="D16" s="6" t="n">
        <v>250</v>
      </c>
      <c r="E16" s="7" t="n">
        <f aca="false">D16/1000*C16</f>
        <v>5</v>
      </c>
      <c r="F16" s="15"/>
      <c r="G16" s="15"/>
      <c r="H16" s="15"/>
    </row>
    <row r="17" customFormat="false" ht="15.75" hidden="false" customHeight="false" outlineLevel="0" collapsed="false">
      <c r="A17" s="4"/>
      <c r="B17" s="21" t="s">
        <v>104</v>
      </c>
      <c r="C17" s="6" t="n">
        <v>100</v>
      </c>
      <c r="D17" s="6" t="e">
        <f aca="false">#REF!</f>
        <v>#REF!</v>
      </c>
      <c r="E17" s="7" t="e">
        <f aca="false">D17/1000*C17</f>
        <v>#REF!</v>
      </c>
      <c r="F17" s="15"/>
      <c r="G17" s="15"/>
      <c r="H17" s="15"/>
    </row>
    <row r="18" customFormat="false" ht="15.75" hidden="false" customHeight="false" outlineLevel="0" collapsed="false">
      <c r="A18" s="4"/>
      <c r="B18" s="21" t="s">
        <v>62</v>
      </c>
      <c r="C18" s="6" t="n">
        <v>15</v>
      </c>
      <c r="D18" s="6" t="n">
        <v>250</v>
      </c>
      <c r="E18" s="7" t="n">
        <f aca="false">D18/1000*C18</f>
        <v>3.75</v>
      </c>
      <c r="F18" s="15"/>
      <c r="G18" s="15"/>
      <c r="H18" s="15"/>
    </row>
    <row r="19" customFormat="false" ht="15.75" hidden="false" customHeight="false" outlineLevel="0" collapsed="false">
      <c r="A19" s="16"/>
      <c r="B19" s="16"/>
      <c r="C19" s="6"/>
      <c r="D19" s="6"/>
      <c r="E19" s="7"/>
      <c r="F19" s="6"/>
      <c r="G19" s="6"/>
      <c r="H19" s="6"/>
    </row>
    <row r="20" customFormat="false" ht="15.75" hidden="false" customHeight="false" outlineLevel="0" collapsed="false">
      <c r="A20" s="3" t="s">
        <v>51</v>
      </c>
      <c r="B20" s="3"/>
      <c r="C20" s="3"/>
      <c r="D20" s="6"/>
      <c r="E20" s="7"/>
      <c r="F20" s="6"/>
      <c r="G20" s="6"/>
      <c r="H20" s="6"/>
    </row>
    <row r="21" customFormat="false" ht="15.75" hidden="false" customHeight="false" outlineLevel="0" collapsed="false">
      <c r="A21" s="3" t="s">
        <v>650</v>
      </c>
      <c r="B21" s="6" t="s">
        <v>651</v>
      </c>
      <c r="C21" s="6" t="n">
        <v>80</v>
      </c>
      <c r="D21" s="6" t="e">
        <f aca="false">#REF!</f>
        <v>#REF!</v>
      </c>
      <c r="E21" s="7" t="e">
        <f aca="false">D21/1000*C21</f>
        <v>#REF!</v>
      </c>
      <c r="F21" s="15" t="e">
        <f aca="false">SUM(E21:E23)</f>
        <v>#REF!</v>
      </c>
      <c r="G21" s="15" t="n">
        <v>1000</v>
      </c>
      <c r="H21" s="9" t="e">
        <f aca="false">(G21-F21)/F21*100</f>
        <v>#REF!</v>
      </c>
    </row>
    <row r="22" customFormat="false" ht="15.75" hidden="false" customHeight="false" outlineLevel="0" collapsed="false">
      <c r="A22" s="3"/>
      <c r="B22" s="21" t="s">
        <v>53</v>
      </c>
      <c r="C22" s="6" t="n">
        <v>80</v>
      </c>
      <c r="D22" s="6" t="n">
        <v>250</v>
      </c>
      <c r="E22" s="7" t="n">
        <f aca="false">D22/1000*C22</f>
        <v>20</v>
      </c>
      <c r="F22" s="15"/>
      <c r="G22" s="15"/>
      <c r="H22" s="15"/>
    </row>
    <row r="23" customFormat="false" ht="15.75" hidden="false" customHeight="false" outlineLevel="0" collapsed="false">
      <c r="A23" s="3"/>
      <c r="B23" s="21" t="s">
        <v>652</v>
      </c>
      <c r="C23" s="6" t="n">
        <v>40</v>
      </c>
      <c r="D23" s="6" t="e">
        <f aca="false">#REF!</f>
        <v>#REF!</v>
      </c>
      <c r="E23" s="7" t="e">
        <f aca="false">D23/1000*C23</f>
        <v>#REF!</v>
      </c>
      <c r="F23" s="15"/>
      <c r="G23" s="15"/>
      <c r="H23" s="15"/>
    </row>
    <row r="24" customFormat="false" ht="15.75" hidden="false" customHeight="false" outlineLevel="0" collapsed="false">
      <c r="C24" s="14"/>
      <c r="D24" s="14"/>
      <c r="E24" s="14"/>
      <c r="F24" s="14"/>
      <c r="G24" s="14"/>
      <c r="H24" s="14"/>
    </row>
    <row r="25" customFormat="false" ht="15.75" hidden="false" customHeight="false" outlineLevel="0" collapsed="false">
      <c r="C25" s="14"/>
      <c r="D25" s="14"/>
      <c r="E25" s="14"/>
      <c r="F25" s="14"/>
      <c r="G25" s="14"/>
      <c r="H25" s="14"/>
    </row>
    <row r="26" customFormat="false" ht="15.75" hidden="false" customHeight="false" outlineLevel="0" collapsed="false">
      <c r="C26" s="14"/>
      <c r="D26" s="14"/>
      <c r="E26" s="14"/>
      <c r="F26" s="14"/>
      <c r="G26" s="14"/>
      <c r="H26" s="14"/>
    </row>
    <row r="27" customFormat="false" ht="15.75" hidden="false" customHeight="false" outlineLevel="0" collapsed="false">
      <c r="C27" s="14"/>
      <c r="D27" s="14"/>
      <c r="E27" s="14"/>
      <c r="F27" s="14"/>
      <c r="G27" s="14"/>
      <c r="H27" s="14"/>
    </row>
    <row r="28" customFormat="false" ht="15.75" hidden="false" customHeight="false" outlineLevel="0" collapsed="false">
      <c r="C28" s="14"/>
      <c r="D28" s="14"/>
      <c r="E28" s="14"/>
      <c r="F28" s="14"/>
      <c r="G28" s="14"/>
      <c r="H28" s="14"/>
    </row>
    <row r="29" customFormat="false" ht="15.75" hidden="false" customHeight="false" outlineLevel="0" collapsed="false">
      <c r="C29" s="14"/>
      <c r="D29" s="14"/>
      <c r="E29" s="14"/>
      <c r="F29" s="14"/>
      <c r="G29" s="14"/>
      <c r="H29" s="14"/>
    </row>
    <row r="30" customFormat="false" ht="15.75" hidden="false" customHeight="false" outlineLevel="0" collapsed="false">
      <c r="C30" s="14"/>
      <c r="D30" s="14"/>
      <c r="E30" s="14"/>
      <c r="F30" s="14"/>
      <c r="G30" s="14"/>
      <c r="H30" s="14"/>
    </row>
    <row r="31" customFormat="false" ht="15.75" hidden="false" customHeight="false" outlineLevel="0" collapsed="false">
      <c r="C31" s="14"/>
      <c r="D31" s="14"/>
      <c r="E31" s="14"/>
      <c r="F31" s="14"/>
      <c r="G31" s="14"/>
      <c r="H31" s="14"/>
    </row>
    <row r="32" customFormat="false" ht="15.75" hidden="false" customHeight="false" outlineLevel="0" collapsed="false">
      <c r="C32" s="14"/>
      <c r="D32" s="14"/>
      <c r="E32" s="14"/>
      <c r="F32" s="14"/>
      <c r="G32" s="14"/>
      <c r="H32" s="14"/>
    </row>
    <row r="33" customFormat="false" ht="15.75" hidden="false" customHeight="false" outlineLevel="0" collapsed="false">
      <c r="C33" s="14"/>
      <c r="D33" s="14"/>
      <c r="E33" s="14"/>
      <c r="F33" s="14"/>
      <c r="G33" s="14"/>
      <c r="H33" s="14"/>
    </row>
    <row r="34" customFormat="false" ht="15.75" hidden="false" customHeight="false" outlineLevel="0" collapsed="false">
      <c r="C34" s="14"/>
      <c r="D34" s="14"/>
      <c r="E34" s="14"/>
      <c r="F34" s="14"/>
      <c r="G34" s="14"/>
      <c r="H34" s="14"/>
    </row>
    <row r="35" customFormat="false" ht="15.75" hidden="false" customHeight="false" outlineLevel="0" collapsed="false">
      <c r="C35" s="14"/>
      <c r="D35" s="14"/>
      <c r="E35" s="14"/>
      <c r="F35" s="14"/>
      <c r="G35" s="14"/>
      <c r="H35" s="14"/>
    </row>
    <row r="36" customFormat="false" ht="15.75" hidden="false" customHeight="false" outlineLevel="0" collapsed="false">
      <c r="C36" s="14"/>
      <c r="D36" s="14"/>
      <c r="E36" s="14"/>
      <c r="F36" s="14"/>
      <c r="G36" s="14"/>
      <c r="H36" s="14"/>
    </row>
    <row r="37" customFormat="false" ht="15.75" hidden="false" customHeight="false" outlineLevel="0" collapsed="false">
      <c r="C37" s="14"/>
      <c r="D37" s="14"/>
      <c r="E37" s="14"/>
      <c r="F37" s="14"/>
      <c r="G37" s="14"/>
      <c r="H37" s="14"/>
    </row>
    <row r="38" customFormat="false" ht="15.75" hidden="false" customHeight="false" outlineLevel="0" collapsed="false">
      <c r="C38" s="14"/>
      <c r="D38" s="14"/>
      <c r="E38" s="14"/>
      <c r="F38" s="14"/>
      <c r="G38" s="14"/>
      <c r="H38" s="14"/>
    </row>
    <row r="39" customFormat="false" ht="15.75" hidden="false" customHeight="false" outlineLevel="0" collapsed="false">
      <c r="C39" s="14"/>
      <c r="D39" s="14"/>
      <c r="E39" s="14"/>
      <c r="F39" s="14"/>
      <c r="G39" s="14"/>
      <c r="H39" s="14"/>
    </row>
    <row r="40" customFormat="false" ht="15.75" hidden="false" customHeight="false" outlineLevel="0" collapsed="false">
      <c r="C40" s="14"/>
      <c r="D40" s="14"/>
      <c r="E40" s="14"/>
      <c r="F40" s="14"/>
      <c r="G40" s="14"/>
      <c r="H40" s="14"/>
    </row>
    <row r="41" customFormat="false" ht="15.75" hidden="false" customHeight="false" outlineLevel="0" collapsed="false">
      <c r="C41" s="14"/>
      <c r="D41" s="14"/>
      <c r="E41" s="14"/>
      <c r="F41" s="14"/>
      <c r="G41" s="14"/>
      <c r="H41" s="14"/>
    </row>
    <row r="42" customFormat="false" ht="15.75" hidden="false" customHeight="false" outlineLevel="0" collapsed="false">
      <c r="C42" s="14"/>
      <c r="D42" s="14"/>
      <c r="E42" s="14"/>
      <c r="F42" s="14"/>
      <c r="G42" s="14"/>
      <c r="H42" s="14"/>
    </row>
    <row r="43" customFormat="false" ht="15.75" hidden="false" customHeight="false" outlineLevel="0" collapsed="false">
      <c r="C43" s="14"/>
      <c r="D43" s="14"/>
      <c r="E43" s="14"/>
      <c r="F43" s="14"/>
      <c r="G43" s="14"/>
      <c r="H43" s="14"/>
    </row>
    <row r="44" customFormat="false" ht="15.75" hidden="false" customHeight="false" outlineLevel="0" collapsed="false">
      <c r="C44" s="14"/>
      <c r="D44" s="14"/>
      <c r="E44" s="14"/>
      <c r="F44" s="14"/>
      <c r="G44" s="14"/>
      <c r="H44" s="14"/>
    </row>
    <row r="45" customFormat="false" ht="15.75" hidden="false" customHeight="false" outlineLevel="0" collapsed="false">
      <c r="C45" s="14"/>
      <c r="D45" s="14"/>
      <c r="E45" s="14"/>
      <c r="F45" s="14"/>
      <c r="G45" s="14"/>
      <c r="H45" s="14"/>
    </row>
    <row r="46" customFormat="false" ht="15.75" hidden="false" customHeight="false" outlineLevel="0" collapsed="false">
      <c r="C46" s="14"/>
      <c r="D46" s="14"/>
      <c r="E46" s="14"/>
      <c r="F46" s="14"/>
      <c r="G46" s="14"/>
      <c r="H46" s="14"/>
    </row>
    <row r="47" customFormat="false" ht="15.75" hidden="false" customHeight="false" outlineLevel="0" collapsed="false">
      <c r="C47" s="14"/>
      <c r="D47" s="14"/>
      <c r="E47" s="14"/>
      <c r="F47" s="14"/>
      <c r="G47" s="14"/>
      <c r="H47" s="14"/>
    </row>
    <row r="48" customFormat="false" ht="15.75" hidden="false" customHeight="false" outlineLevel="0" collapsed="false">
      <c r="C48" s="14"/>
      <c r="D48" s="14"/>
      <c r="E48" s="14"/>
      <c r="F48" s="14"/>
      <c r="G48" s="14"/>
      <c r="H48" s="14"/>
    </row>
    <row r="49" customFormat="false" ht="15.75" hidden="false" customHeight="false" outlineLevel="0" collapsed="false">
      <c r="C49" s="14"/>
      <c r="D49" s="14"/>
      <c r="E49" s="14"/>
      <c r="F49" s="14"/>
      <c r="G49" s="14"/>
      <c r="H49" s="14"/>
    </row>
    <row r="50" customFormat="false" ht="15.75" hidden="false" customHeight="false" outlineLevel="0" collapsed="false">
      <c r="C50" s="14"/>
      <c r="D50" s="14"/>
      <c r="E50" s="14"/>
      <c r="F50" s="14"/>
      <c r="G50" s="14"/>
      <c r="H50" s="14"/>
    </row>
    <row r="51" customFormat="false" ht="15.75" hidden="false" customHeight="false" outlineLevel="0" collapsed="false">
      <c r="C51" s="14"/>
      <c r="D51" s="14"/>
      <c r="E51" s="14"/>
      <c r="F51" s="14"/>
      <c r="G51" s="14"/>
      <c r="H51" s="14"/>
    </row>
    <row r="52" customFormat="false" ht="15.75" hidden="false" customHeight="false" outlineLevel="0" collapsed="false">
      <c r="C52" s="14"/>
      <c r="D52" s="14"/>
      <c r="E52" s="14"/>
      <c r="F52" s="14"/>
      <c r="G52" s="14"/>
      <c r="H52" s="14"/>
    </row>
    <row r="53" customFormat="false" ht="15.75" hidden="false" customHeight="false" outlineLevel="0" collapsed="false">
      <c r="C53" s="14"/>
      <c r="D53" s="14"/>
      <c r="E53" s="14"/>
      <c r="F53" s="14"/>
      <c r="G53" s="14"/>
      <c r="H53" s="14"/>
    </row>
    <row r="54" customFormat="false" ht="15.75" hidden="false" customHeight="false" outlineLevel="0" collapsed="false">
      <c r="C54" s="14"/>
      <c r="D54" s="14"/>
      <c r="E54" s="14"/>
      <c r="F54" s="14"/>
      <c r="G54" s="14"/>
      <c r="H54" s="14"/>
    </row>
    <row r="55" customFormat="false" ht="15.75" hidden="false" customHeight="false" outlineLevel="0" collapsed="false">
      <c r="C55" s="14"/>
      <c r="D55" s="14"/>
      <c r="E55" s="14"/>
      <c r="F55" s="14"/>
      <c r="G55" s="14"/>
      <c r="H55" s="14"/>
    </row>
    <row r="56" customFormat="false" ht="15.75" hidden="false" customHeight="false" outlineLevel="0" collapsed="false">
      <c r="C56" s="14"/>
      <c r="D56" s="14"/>
      <c r="E56" s="14"/>
      <c r="F56" s="14"/>
      <c r="G56" s="14"/>
      <c r="H56" s="14"/>
    </row>
    <row r="57" customFormat="false" ht="15.75" hidden="false" customHeight="false" outlineLevel="0" collapsed="false">
      <c r="C57" s="14"/>
      <c r="D57" s="14"/>
      <c r="E57" s="14"/>
      <c r="F57" s="14"/>
      <c r="G57" s="14"/>
      <c r="H57" s="14"/>
    </row>
    <row r="58" customFormat="false" ht="15.75" hidden="false" customHeight="false" outlineLevel="0" collapsed="false">
      <c r="C58" s="14"/>
      <c r="D58" s="14"/>
      <c r="E58" s="14"/>
      <c r="F58" s="14"/>
      <c r="G58" s="14"/>
      <c r="H58" s="14"/>
    </row>
    <row r="59" customFormat="false" ht="15.75" hidden="false" customHeight="false" outlineLevel="0" collapsed="false">
      <c r="C59" s="14"/>
      <c r="D59" s="14"/>
      <c r="E59" s="14"/>
      <c r="F59" s="14"/>
      <c r="G59" s="14"/>
      <c r="H59" s="14"/>
    </row>
    <row r="60" customFormat="false" ht="15.75" hidden="false" customHeight="false" outlineLevel="0" collapsed="false">
      <c r="C60" s="14"/>
      <c r="D60" s="14"/>
      <c r="E60" s="14"/>
      <c r="F60" s="14"/>
      <c r="G60" s="14"/>
      <c r="H60" s="14"/>
    </row>
    <row r="61" customFormat="false" ht="15.75" hidden="false" customHeight="false" outlineLevel="0" collapsed="false">
      <c r="C61" s="14"/>
      <c r="D61" s="14"/>
      <c r="E61" s="14"/>
      <c r="F61" s="14"/>
      <c r="G61" s="14"/>
      <c r="H61" s="14"/>
    </row>
    <row r="62" customFormat="false" ht="15.75" hidden="false" customHeight="false" outlineLevel="0" collapsed="false">
      <c r="C62" s="14"/>
      <c r="D62" s="14"/>
      <c r="E62" s="14"/>
      <c r="F62" s="14"/>
      <c r="G62" s="14"/>
      <c r="H62" s="14"/>
    </row>
    <row r="63" customFormat="false" ht="15.75" hidden="false" customHeight="false" outlineLevel="0" collapsed="false">
      <c r="C63" s="14"/>
      <c r="D63" s="14"/>
      <c r="E63" s="14"/>
      <c r="F63" s="14"/>
      <c r="G63" s="14"/>
      <c r="H63" s="14"/>
    </row>
    <row r="64" customFormat="false" ht="15.75" hidden="false" customHeight="false" outlineLevel="0" collapsed="false">
      <c r="C64" s="14"/>
      <c r="D64" s="14"/>
      <c r="E64" s="14"/>
      <c r="F64" s="14"/>
      <c r="G64" s="14"/>
      <c r="H64" s="14"/>
    </row>
    <row r="65" customFormat="false" ht="15.75" hidden="false" customHeight="false" outlineLevel="0" collapsed="false">
      <c r="C65" s="14"/>
      <c r="D65" s="14"/>
      <c r="E65" s="14"/>
      <c r="F65" s="14"/>
      <c r="G65" s="14"/>
      <c r="H65" s="14"/>
    </row>
    <row r="66" customFormat="false" ht="15.75" hidden="false" customHeight="false" outlineLevel="0" collapsed="false">
      <c r="C66" s="14"/>
      <c r="D66" s="14"/>
      <c r="E66" s="14"/>
      <c r="F66" s="14"/>
      <c r="G66" s="14"/>
      <c r="H66" s="14"/>
    </row>
    <row r="67" customFormat="false" ht="15.75" hidden="false" customHeight="false" outlineLevel="0" collapsed="false">
      <c r="C67" s="14"/>
      <c r="D67" s="14"/>
      <c r="E67" s="14"/>
      <c r="F67" s="14"/>
      <c r="G67" s="14"/>
      <c r="H67" s="14"/>
    </row>
    <row r="68" customFormat="false" ht="15.75" hidden="false" customHeight="false" outlineLevel="0" collapsed="false">
      <c r="C68" s="14"/>
      <c r="D68" s="14"/>
      <c r="E68" s="14"/>
      <c r="F68" s="14"/>
      <c r="G68" s="14"/>
      <c r="H68" s="14"/>
    </row>
    <row r="69" customFormat="false" ht="15.75" hidden="false" customHeight="false" outlineLevel="0" collapsed="false">
      <c r="C69" s="14"/>
      <c r="D69" s="14"/>
      <c r="E69" s="14"/>
      <c r="F69" s="14"/>
      <c r="G69" s="14"/>
      <c r="H69" s="14"/>
    </row>
    <row r="70" customFormat="false" ht="15.75" hidden="false" customHeight="false" outlineLevel="0" collapsed="false">
      <c r="C70" s="14"/>
      <c r="D70" s="14"/>
      <c r="E70" s="14"/>
      <c r="F70" s="14"/>
      <c r="G70" s="14"/>
      <c r="H70" s="14"/>
    </row>
    <row r="71" customFormat="false" ht="15.75" hidden="false" customHeight="false" outlineLevel="0" collapsed="false">
      <c r="C71" s="14"/>
      <c r="D71" s="14"/>
      <c r="E71" s="14"/>
      <c r="F71" s="14"/>
      <c r="G71" s="14"/>
      <c r="H71" s="14"/>
    </row>
    <row r="72" customFormat="false" ht="15.75" hidden="false" customHeight="false" outlineLevel="0" collapsed="false">
      <c r="C72" s="14"/>
      <c r="D72" s="14"/>
      <c r="E72" s="14"/>
      <c r="F72" s="14"/>
      <c r="G72" s="14"/>
      <c r="H72" s="14"/>
    </row>
    <row r="73" customFormat="false" ht="15.75" hidden="false" customHeight="false" outlineLevel="0" collapsed="false">
      <c r="C73" s="14"/>
      <c r="D73" s="14"/>
      <c r="E73" s="14"/>
      <c r="F73" s="14"/>
      <c r="G73" s="14"/>
      <c r="H73" s="14"/>
    </row>
    <row r="74" customFormat="false" ht="15.75" hidden="false" customHeight="false" outlineLevel="0" collapsed="false">
      <c r="C74" s="14"/>
      <c r="D74" s="14"/>
      <c r="E74" s="14"/>
      <c r="F74" s="14"/>
      <c r="G74" s="14"/>
      <c r="H74" s="14"/>
    </row>
    <row r="75" customFormat="false" ht="15.75" hidden="false" customHeight="false" outlineLevel="0" collapsed="false">
      <c r="C75" s="14"/>
      <c r="D75" s="14"/>
      <c r="E75" s="14"/>
      <c r="F75" s="14"/>
      <c r="G75" s="14"/>
      <c r="H75" s="14"/>
    </row>
    <row r="76" customFormat="false" ht="15.75" hidden="false" customHeight="false" outlineLevel="0" collapsed="false">
      <c r="C76" s="14"/>
      <c r="D76" s="14"/>
      <c r="E76" s="14"/>
      <c r="F76" s="14"/>
      <c r="G76" s="14"/>
      <c r="H76" s="14"/>
    </row>
    <row r="77" customFormat="false" ht="15.75" hidden="false" customHeight="false" outlineLevel="0" collapsed="false">
      <c r="C77" s="14"/>
      <c r="D77" s="14"/>
      <c r="E77" s="14"/>
      <c r="F77" s="14"/>
      <c r="G77" s="14"/>
      <c r="H77" s="14"/>
    </row>
    <row r="78" customFormat="false" ht="15.75" hidden="false" customHeight="false" outlineLevel="0" collapsed="false">
      <c r="C78" s="14"/>
      <c r="D78" s="14"/>
      <c r="E78" s="14"/>
      <c r="F78" s="14"/>
      <c r="G78" s="14"/>
      <c r="H78" s="14"/>
    </row>
    <row r="79" customFormat="false" ht="15.75" hidden="false" customHeight="false" outlineLevel="0" collapsed="false">
      <c r="C79" s="14"/>
      <c r="D79" s="14"/>
      <c r="E79" s="14"/>
      <c r="F79" s="14"/>
      <c r="G79" s="14"/>
      <c r="H79" s="14"/>
    </row>
    <row r="80" customFormat="false" ht="15.75" hidden="false" customHeight="false" outlineLevel="0" collapsed="false">
      <c r="C80" s="14"/>
      <c r="D80" s="14"/>
      <c r="E80" s="14"/>
      <c r="F80" s="14"/>
      <c r="G80" s="14"/>
      <c r="H80" s="14"/>
    </row>
    <row r="81" customFormat="false" ht="15.75" hidden="false" customHeight="false" outlineLevel="0" collapsed="false">
      <c r="C81" s="14"/>
      <c r="D81" s="14"/>
      <c r="E81" s="14"/>
      <c r="F81" s="14"/>
      <c r="G81" s="14"/>
      <c r="H81" s="14"/>
    </row>
    <row r="82" customFormat="false" ht="15.75" hidden="false" customHeight="false" outlineLevel="0" collapsed="false">
      <c r="C82" s="14"/>
      <c r="D82" s="14"/>
      <c r="E82" s="14"/>
      <c r="F82" s="14"/>
      <c r="G82" s="14"/>
      <c r="H82" s="14"/>
    </row>
    <row r="83" customFormat="false" ht="15.75" hidden="false" customHeight="false" outlineLevel="0" collapsed="false">
      <c r="C83" s="14"/>
      <c r="D83" s="14"/>
      <c r="E83" s="14"/>
      <c r="F83" s="14"/>
      <c r="G83" s="14"/>
      <c r="H83" s="14"/>
    </row>
    <row r="84" customFormat="false" ht="15.75" hidden="false" customHeight="false" outlineLevel="0" collapsed="false">
      <c r="C84" s="14"/>
      <c r="D84" s="14"/>
      <c r="E84" s="14"/>
      <c r="F84" s="14"/>
      <c r="G84" s="14"/>
      <c r="H84" s="14"/>
    </row>
    <row r="85" customFormat="false" ht="15.75" hidden="false" customHeight="false" outlineLevel="0" collapsed="false">
      <c r="C85" s="14"/>
      <c r="D85" s="14"/>
      <c r="E85" s="14"/>
      <c r="F85" s="14"/>
      <c r="G85" s="14"/>
      <c r="H85" s="14"/>
    </row>
    <row r="86" customFormat="false" ht="15.75" hidden="false" customHeight="false" outlineLevel="0" collapsed="false">
      <c r="C86" s="14"/>
      <c r="D86" s="14"/>
      <c r="E86" s="14"/>
      <c r="F86" s="14"/>
      <c r="G86" s="14"/>
      <c r="H86" s="14"/>
    </row>
    <row r="87" customFormat="false" ht="15.75" hidden="false" customHeight="false" outlineLevel="0" collapsed="false">
      <c r="C87" s="14"/>
      <c r="D87" s="14"/>
      <c r="E87" s="14"/>
      <c r="F87" s="14"/>
      <c r="G87" s="14"/>
      <c r="H87" s="14"/>
    </row>
    <row r="88" customFormat="false" ht="15.75" hidden="false" customHeight="false" outlineLevel="0" collapsed="false">
      <c r="C88" s="14"/>
      <c r="D88" s="14"/>
      <c r="E88" s="14"/>
      <c r="F88" s="14"/>
      <c r="G88" s="14"/>
      <c r="H88" s="14"/>
    </row>
    <row r="89" customFormat="false" ht="15.75" hidden="false" customHeight="false" outlineLevel="0" collapsed="false">
      <c r="C89" s="14"/>
      <c r="D89" s="14"/>
      <c r="E89" s="14"/>
      <c r="F89" s="14"/>
      <c r="G89" s="14"/>
      <c r="H89" s="14"/>
    </row>
    <row r="90" customFormat="false" ht="15.75" hidden="false" customHeight="false" outlineLevel="0" collapsed="false">
      <c r="C90" s="14"/>
      <c r="D90" s="14"/>
      <c r="E90" s="14"/>
      <c r="F90" s="14"/>
      <c r="G90" s="14"/>
      <c r="H90" s="14"/>
    </row>
    <row r="91" customFormat="false" ht="15.75" hidden="false" customHeight="false" outlineLevel="0" collapsed="false">
      <c r="C91" s="14"/>
      <c r="D91" s="14"/>
      <c r="E91" s="14"/>
      <c r="F91" s="14"/>
      <c r="G91" s="14"/>
      <c r="H91" s="14"/>
    </row>
    <row r="92" customFormat="false" ht="15.75" hidden="false" customHeight="false" outlineLevel="0" collapsed="false">
      <c r="C92" s="14"/>
      <c r="D92" s="14"/>
      <c r="E92" s="14"/>
      <c r="F92" s="14"/>
      <c r="G92" s="14"/>
      <c r="H92" s="14"/>
    </row>
    <row r="93" customFormat="false" ht="15.75" hidden="false" customHeight="false" outlineLevel="0" collapsed="false">
      <c r="C93" s="14"/>
      <c r="D93" s="14"/>
      <c r="E93" s="14"/>
      <c r="F93" s="14"/>
      <c r="G93" s="14"/>
      <c r="H93" s="14"/>
    </row>
    <row r="94" customFormat="false" ht="15.75" hidden="false" customHeight="false" outlineLevel="0" collapsed="false">
      <c r="C94" s="14"/>
      <c r="D94" s="14"/>
      <c r="E94" s="14"/>
      <c r="F94" s="14"/>
      <c r="G94" s="14"/>
      <c r="H94" s="14"/>
    </row>
    <row r="95" customFormat="false" ht="15.75" hidden="false" customHeight="false" outlineLevel="0" collapsed="false">
      <c r="C95" s="14"/>
      <c r="D95" s="14"/>
      <c r="E95" s="14"/>
      <c r="F95" s="14"/>
      <c r="G95" s="14"/>
      <c r="H95" s="14"/>
    </row>
    <row r="96" customFormat="false" ht="15.75" hidden="false" customHeight="false" outlineLevel="0" collapsed="false">
      <c r="C96" s="14"/>
      <c r="D96" s="14"/>
      <c r="E96" s="14"/>
      <c r="F96" s="14"/>
      <c r="G96" s="14"/>
      <c r="H96" s="14"/>
    </row>
    <row r="97" customFormat="false" ht="15.75" hidden="false" customHeight="false" outlineLevel="0" collapsed="false">
      <c r="C97" s="14"/>
      <c r="D97" s="14"/>
      <c r="E97" s="14"/>
      <c r="F97" s="14"/>
      <c r="G97" s="14"/>
      <c r="H97" s="14"/>
    </row>
    <row r="98" customFormat="false" ht="15.75" hidden="false" customHeight="false" outlineLevel="0" collapsed="false">
      <c r="C98" s="14"/>
      <c r="D98" s="14"/>
      <c r="E98" s="14"/>
      <c r="F98" s="14"/>
      <c r="G98" s="14"/>
      <c r="H98" s="14"/>
    </row>
    <row r="99" customFormat="false" ht="15.75" hidden="false" customHeight="false" outlineLevel="0" collapsed="false">
      <c r="C99" s="14"/>
      <c r="D99" s="14"/>
      <c r="E99" s="14"/>
      <c r="F99" s="14"/>
      <c r="G99" s="14"/>
      <c r="H99" s="14"/>
    </row>
    <row r="100" customFormat="false" ht="15.75" hidden="false" customHeight="false" outlineLevel="0" collapsed="false">
      <c r="C100" s="14"/>
      <c r="D100" s="14"/>
      <c r="E100" s="14"/>
      <c r="F100" s="14"/>
      <c r="G100" s="14"/>
      <c r="H100" s="14"/>
    </row>
    <row r="101" customFormat="false" ht="15.75" hidden="false" customHeight="false" outlineLevel="0" collapsed="false">
      <c r="C101" s="14"/>
      <c r="D101" s="14"/>
      <c r="E101" s="14"/>
      <c r="F101" s="14"/>
      <c r="G101" s="14"/>
      <c r="H101" s="14"/>
    </row>
    <row r="102" customFormat="false" ht="15.75" hidden="false" customHeight="false" outlineLevel="0" collapsed="false">
      <c r="C102" s="14"/>
      <c r="D102" s="14"/>
      <c r="E102" s="14"/>
      <c r="F102" s="14"/>
      <c r="G102" s="14"/>
      <c r="H102" s="14"/>
    </row>
    <row r="103" customFormat="false" ht="15.75" hidden="false" customHeight="false" outlineLevel="0" collapsed="false">
      <c r="C103" s="14"/>
      <c r="D103" s="14"/>
      <c r="E103" s="14"/>
      <c r="F103" s="14"/>
      <c r="G103" s="14"/>
      <c r="H103" s="14"/>
    </row>
    <row r="104" customFormat="false" ht="15.75" hidden="false" customHeight="false" outlineLevel="0" collapsed="false">
      <c r="C104" s="14"/>
      <c r="D104" s="14"/>
      <c r="E104" s="14"/>
      <c r="F104" s="14"/>
      <c r="G104" s="14"/>
      <c r="H104" s="14"/>
    </row>
    <row r="105" customFormat="false" ht="15.75" hidden="false" customHeight="false" outlineLevel="0" collapsed="false">
      <c r="C105" s="14"/>
      <c r="D105" s="14"/>
      <c r="E105" s="14"/>
      <c r="F105" s="14"/>
      <c r="G105" s="14"/>
      <c r="H105" s="14"/>
    </row>
    <row r="106" customFormat="false" ht="15.75" hidden="false" customHeight="false" outlineLevel="0" collapsed="false">
      <c r="C106" s="14"/>
      <c r="D106" s="14"/>
      <c r="E106" s="14"/>
      <c r="F106" s="14"/>
      <c r="G106" s="14"/>
      <c r="H106" s="14"/>
    </row>
    <row r="107" customFormat="false" ht="15.75" hidden="false" customHeight="false" outlineLevel="0" collapsed="false">
      <c r="C107" s="14"/>
      <c r="D107" s="14"/>
      <c r="E107" s="14"/>
      <c r="F107" s="14"/>
      <c r="G107" s="14"/>
      <c r="H107" s="14"/>
    </row>
    <row r="108" customFormat="false" ht="15.75" hidden="false" customHeight="false" outlineLevel="0" collapsed="false">
      <c r="C108" s="14"/>
      <c r="D108" s="14"/>
      <c r="E108" s="14"/>
      <c r="F108" s="14"/>
      <c r="G108" s="14"/>
      <c r="H108" s="14"/>
    </row>
    <row r="109" customFormat="false" ht="15.75" hidden="false" customHeight="false" outlineLevel="0" collapsed="false">
      <c r="C109" s="14"/>
      <c r="D109" s="14"/>
      <c r="E109" s="14"/>
      <c r="F109" s="14"/>
      <c r="G109" s="14"/>
      <c r="H109" s="14"/>
    </row>
    <row r="110" customFormat="false" ht="15.75" hidden="false" customHeight="false" outlineLevel="0" collapsed="false">
      <c r="C110" s="14"/>
      <c r="D110" s="14"/>
      <c r="E110" s="14"/>
      <c r="F110" s="14"/>
      <c r="G110" s="14"/>
      <c r="H110" s="14"/>
    </row>
    <row r="111" customFormat="false" ht="15.75" hidden="false" customHeight="false" outlineLevel="0" collapsed="false">
      <c r="C111" s="14"/>
      <c r="D111" s="14"/>
      <c r="E111" s="14"/>
      <c r="F111" s="14"/>
      <c r="G111" s="14"/>
      <c r="H111" s="14"/>
    </row>
    <row r="112" customFormat="false" ht="15.75" hidden="false" customHeight="false" outlineLevel="0" collapsed="false">
      <c r="C112" s="14"/>
      <c r="D112" s="14"/>
      <c r="E112" s="14"/>
      <c r="F112" s="14"/>
      <c r="G112" s="14"/>
      <c r="H112" s="14"/>
    </row>
    <row r="113" customFormat="false" ht="15.75" hidden="false" customHeight="false" outlineLevel="0" collapsed="false">
      <c r="C113" s="14"/>
      <c r="D113" s="14"/>
      <c r="E113" s="14"/>
      <c r="F113" s="14"/>
      <c r="G113" s="14"/>
      <c r="H113" s="14"/>
    </row>
    <row r="114" customFormat="false" ht="15.75" hidden="false" customHeight="false" outlineLevel="0" collapsed="false">
      <c r="C114" s="14"/>
      <c r="D114" s="14"/>
      <c r="E114" s="14"/>
      <c r="F114" s="14"/>
      <c r="G114" s="14"/>
      <c r="H114" s="14"/>
    </row>
    <row r="115" customFormat="false" ht="15.75" hidden="false" customHeight="false" outlineLevel="0" collapsed="false">
      <c r="C115" s="14"/>
      <c r="D115" s="14"/>
      <c r="E115" s="14"/>
      <c r="F115" s="14"/>
      <c r="G115" s="14"/>
      <c r="H115" s="14"/>
    </row>
    <row r="116" customFormat="false" ht="15.75" hidden="false" customHeight="false" outlineLevel="0" collapsed="false">
      <c r="C116" s="14"/>
      <c r="D116" s="14"/>
      <c r="E116" s="14"/>
      <c r="F116" s="14"/>
      <c r="G116" s="14"/>
      <c r="H116" s="14"/>
    </row>
    <row r="117" customFormat="false" ht="15.75" hidden="false" customHeight="false" outlineLevel="0" collapsed="false">
      <c r="C117" s="14"/>
      <c r="D117" s="14"/>
      <c r="E117" s="14"/>
      <c r="F117" s="14"/>
      <c r="G117" s="14"/>
      <c r="H117" s="14"/>
    </row>
    <row r="118" customFormat="false" ht="15.75" hidden="false" customHeight="false" outlineLevel="0" collapsed="false">
      <c r="C118" s="14"/>
      <c r="D118" s="14"/>
      <c r="E118" s="14"/>
      <c r="F118" s="14"/>
      <c r="G118" s="14"/>
      <c r="H118" s="14"/>
    </row>
    <row r="119" customFormat="false" ht="15.75" hidden="false" customHeight="false" outlineLevel="0" collapsed="false">
      <c r="C119" s="14"/>
      <c r="D119" s="14"/>
      <c r="E119" s="14"/>
      <c r="F119" s="14"/>
      <c r="G119" s="14"/>
      <c r="H119" s="14"/>
    </row>
    <row r="120" customFormat="false" ht="15.75" hidden="false" customHeight="false" outlineLevel="0" collapsed="false">
      <c r="C120" s="14"/>
      <c r="D120" s="14"/>
      <c r="E120" s="14"/>
      <c r="F120" s="14"/>
      <c r="G120" s="14"/>
      <c r="H120" s="14"/>
    </row>
    <row r="121" customFormat="false" ht="15.75" hidden="false" customHeight="false" outlineLevel="0" collapsed="false">
      <c r="C121" s="14"/>
      <c r="D121" s="14"/>
      <c r="E121" s="14"/>
      <c r="F121" s="14"/>
      <c r="G121" s="14"/>
      <c r="H121" s="14"/>
    </row>
    <row r="122" customFormat="false" ht="15.75" hidden="false" customHeight="false" outlineLevel="0" collapsed="false">
      <c r="C122" s="14"/>
      <c r="D122" s="14"/>
      <c r="E122" s="14"/>
      <c r="F122" s="14"/>
      <c r="G122" s="14"/>
      <c r="H122" s="14"/>
    </row>
    <row r="123" customFormat="false" ht="15.75" hidden="false" customHeight="false" outlineLevel="0" collapsed="false">
      <c r="C123" s="14"/>
      <c r="D123" s="14"/>
      <c r="E123" s="14"/>
      <c r="F123" s="14"/>
      <c r="G123" s="14"/>
      <c r="H123" s="14"/>
    </row>
    <row r="124" customFormat="false" ht="15.75" hidden="false" customHeight="false" outlineLevel="0" collapsed="false">
      <c r="C124" s="14"/>
      <c r="D124" s="14"/>
      <c r="E124" s="14"/>
      <c r="F124" s="14"/>
      <c r="G124" s="14"/>
      <c r="H124" s="14"/>
    </row>
    <row r="125" customFormat="false" ht="15.75" hidden="false" customHeight="false" outlineLevel="0" collapsed="false">
      <c r="C125" s="14"/>
      <c r="D125" s="14"/>
      <c r="E125" s="14"/>
      <c r="F125" s="14"/>
      <c r="G125" s="14"/>
      <c r="H125" s="14"/>
    </row>
    <row r="126" customFormat="false" ht="15.75" hidden="false" customHeight="false" outlineLevel="0" collapsed="false">
      <c r="C126" s="14"/>
      <c r="D126" s="14"/>
      <c r="E126" s="14"/>
      <c r="F126" s="14"/>
      <c r="G126" s="14"/>
      <c r="H126" s="14"/>
    </row>
    <row r="127" customFormat="false" ht="15.75" hidden="false" customHeight="false" outlineLevel="0" collapsed="false">
      <c r="C127" s="14"/>
      <c r="D127" s="14"/>
      <c r="E127" s="14"/>
      <c r="F127" s="14"/>
      <c r="G127" s="14"/>
      <c r="H127" s="14"/>
    </row>
    <row r="128" customFormat="false" ht="15.75" hidden="false" customHeight="false" outlineLevel="0" collapsed="false">
      <c r="C128" s="14"/>
      <c r="D128" s="14"/>
      <c r="E128" s="14"/>
      <c r="F128" s="14"/>
      <c r="G128" s="14"/>
      <c r="H128" s="14"/>
    </row>
    <row r="129" customFormat="false" ht="15.75" hidden="false" customHeight="false" outlineLevel="0" collapsed="false">
      <c r="C129" s="14"/>
      <c r="D129" s="14"/>
      <c r="E129" s="14"/>
      <c r="F129" s="14"/>
      <c r="G129" s="14"/>
      <c r="H129" s="14"/>
    </row>
    <row r="130" customFormat="false" ht="15.75" hidden="false" customHeight="false" outlineLevel="0" collapsed="false">
      <c r="C130" s="14"/>
      <c r="D130" s="14"/>
      <c r="E130" s="14"/>
      <c r="F130" s="14"/>
      <c r="G130" s="14"/>
      <c r="H130" s="14"/>
    </row>
    <row r="131" customFormat="false" ht="15.75" hidden="false" customHeight="false" outlineLevel="0" collapsed="false">
      <c r="C131" s="14"/>
      <c r="D131" s="14"/>
      <c r="E131" s="14"/>
      <c r="F131" s="14"/>
      <c r="G131" s="14"/>
      <c r="H131" s="14"/>
    </row>
    <row r="132" customFormat="false" ht="15.75" hidden="false" customHeight="false" outlineLevel="0" collapsed="false">
      <c r="C132" s="14"/>
      <c r="D132" s="14"/>
      <c r="E132" s="14"/>
      <c r="F132" s="14"/>
      <c r="G132" s="14"/>
      <c r="H132" s="14"/>
    </row>
    <row r="133" customFormat="false" ht="15.75" hidden="false" customHeight="false" outlineLevel="0" collapsed="false">
      <c r="C133" s="14"/>
      <c r="D133" s="14"/>
      <c r="E133" s="14"/>
      <c r="F133" s="14"/>
      <c r="G133" s="14"/>
      <c r="H133" s="14"/>
    </row>
    <row r="134" customFormat="false" ht="15.75" hidden="false" customHeight="false" outlineLevel="0" collapsed="false">
      <c r="C134" s="14"/>
      <c r="D134" s="14"/>
      <c r="E134" s="14"/>
      <c r="F134" s="14"/>
      <c r="G134" s="14"/>
      <c r="H134" s="14"/>
    </row>
    <row r="135" customFormat="false" ht="15.75" hidden="false" customHeight="false" outlineLevel="0" collapsed="false">
      <c r="C135" s="14"/>
      <c r="D135" s="14"/>
      <c r="E135" s="14"/>
      <c r="F135" s="14"/>
      <c r="G135" s="14"/>
      <c r="H135" s="14"/>
    </row>
    <row r="136" customFormat="false" ht="15.75" hidden="false" customHeight="false" outlineLevel="0" collapsed="false">
      <c r="C136" s="14"/>
      <c r="D136" s="14"/>
      <c r="E136" s="14"/>
      <c r="F136" s="14"/>
      <c r="G136" s="14"/>
      <c r="H136" s="14"/>
    </row>
    <row r="137" customFormat="false" ht="15.75" hidden="false" customHeight="false" outlineLevel="0" collapsed="false">
      <c r="C137" s="14"/>
      <c r="D137" s="14"/>
      <c r="E137" s="14"/>
      <c r="F137" s="14"/>
      <c r="G137" s="14"/>
      <c r="H137" s="14"/>
    </row>
    <row r="138" customFormat="false" ht="15.75" hidden="false" customHeight="false" outlineLevel="0" collapsed="false">
      <c r="C138" s="14"/>
      <c r="D138" s="14"/>
      <c r="E138" s="14"/>
      <c r="F138" s="14"/>
      <c r="G138" s="14"/>
      <c r="H138" s="14"/>
    </row>
    <row r="139" customFormat="false" ht="15.75" hidden="false" customHeight="false" outlineLevel="0" collapsed="false">
      <c r="C139" s="14"/>
      <c r="D139" s="14"/>
      <c r="E139" s="14"/>
      <c r="F139" s="14"/>
      <c r="G139" s="14"/>
      <c r="H139" s="14"/>
    </row>
    <row r="140" customFormat="false" ht="15.75" hidden="false" customHeight="false" outlineLevel="0" collapsed="false">
      <c r="C140" s="14"/>
      <c r="D140" s="14"/>
      <c r="E140" s="14"/>
      <c r="F140" s="14"/>
      <c r="G140" s="14"/>
      <c r="H140" s="14"/>
    </row>
    <row r="141" customFormat="false" ht="15.75" hidden="false" customHeight="false" outlineLevel="0" collapsed="false">
      <c r="C141" s="14"/>
      <c r="D141" s="14"/>
      <c r="E141" s="14"/>
      <c r="F141" s="14"/>
      <c r="G141" s="14"/>
      <c r="H141" s="14"/>
    </row>
    <row r="142" customFormat="false" ht="15.75" hidden="false" customHeight="false" outlineLevel="0" collapsed="false">
      <c r="C142" s="14"/>
      <c r="D142" s="14"/>
      <c r="E142" s="14"/>
      <c r="F142" s="14"/>
      <c r="G142" s="14"/>
      <c r="H142" s="14"/>
    </row>
    <row r="143" customFormat="false" ht="15.75" hidden="false" customHeight="false" outlineLevel="0" collapsed="false">
      <c r="C143" s="14"/>
      <c r="D143" s="14"/>
      <c r="E143" s="14"/>
      <c r="F143" s="14"/>
      <c r="G143" s="14"/>
      <c r="H143" s="14"/>
    </row>
    <row r="144" customFormat="false" ht="15.75" hidden="false" customHeight="false" outlineLevel="0" collapsed="false">
      <c r="C144" s="14"/>
      <c r="D144" s="14"/>
      <c r="E144" s="14"/>
      <c r="F144" s="14"/>
      <c r="G144" s="14"/>
      <c r="H144" s="14"/>
    </row>
    <row r="145" customFormat="false" ht="15.75" hidden="false" customHeight="false" outlineLevel="0" collapsed="false">
      <c r="C145" s="14"/>
      <c r="D145" s="14"/>
      <c r="E145" s="14"/>
      <c r="F145" s="14"/>
      <c r="G145" s="14"/>
      <c r="H145" s="14"/>
    </row>
    <row r="146" customFormat="false" ht="15.75" hidden="false" customHeight="false" outlineLevel="0" collapsed="false">
      <c r="C146" s="14"/>
      <c r="D146" s="14"/>
      <c r="E146" s="14"/>
      <c r="F146" s="14"/>
      <c r="G146" s="14"/>
      <c r="H146" s="14"/>
    </row>
    <row r="147" customFormat="false" ht="15.75" hidden="false" customHeight="false" outlineLevel="0" collapsed="false">
      <c r="C147" s="14"/>
      <c r="D147" s="14"/>
      <c r="E147" s="14"/>
      <c r="F147" s="14"/>
      <c r="G147" s="14"/>
      <c r="H147" s="14"/>
    </row>
    <row r="148" customFormat="false" ht="15.75" hidden="false" customHeight="false" outlineLevel="0" collapsed="false">
      <c r="C148" s="14"/>
      <c r="D148" s="14"/>
      <c r="E148" s="14"/>
      <c r="F148" s="14"/>
      <c r="G148" s="14"/>
      <c r="H148" s="14"/>
    </row>
    <row r="149" customFormat="false" ht="15.75" hidden="false" customHeight="false" outlineLevel="0" collapsed="false">
      <c r="C149" s="14"/>
      <c r="D149" s="14"/>
      <c r="E149" s="14"/>
      <c r="F149" s="14"/>
      <c r="G149" s="14"/>
      <c r="H149" s="14"/>
    </row>
    <row r="150" customFormat="false" ht="15.75" hidden="false" customHeight="false" outlineLevel="0" collapsed="false">
      <c r="C150" s="14"/>
      <c r="D150" s="14"/>
      <c r="E150" s="14"/>
      <c r="F150" s="14"/>
      <c r="G150" s="14"/>
      <c r="H150" s="14"/>
    </row>
    <row r="151" customFormat="false" ht="15.75" hidden="false" customHeight="false" outlineLevel="0" collapsed="false">
      <c r="C151" s="14"/>
      <c r="D151" s="14"/>
      <c r="E151" s="14"/>
      <c r="F151" s="14"/>
      <c r="G151" s="14"/>
      <c r="H151" s="14"/>
    </row>
    <row r="152" customFormat="false" ht="15.75" hidden="false" customHeight="false" outlineLevel="0" collapsed="false">
      <c r="C152" s="14"/>
      <c r="D152" s="14"/>
      <c r="E152" s="14"/>
      <c r="F152" s="14"/>
      <c r="G152" s="14"/>
      <c r="H152" s="14"/>
    </row>
    <row r="153" customFormat="false" ht="15.75" hidden="false" customHeight="false" outlineLevel="0" collapsed="false">
      <c r="C153" s="14"/>
      <c r="D153" s="14"/>
      <c r="E153" s="14"/>
      <c r="F153" s="14"/>
      <c r="G153" s="14"/>
      <c r="H153" s="14"/>
    </row>
    <row r="154" customFormat="false" ht="15.75" hidden="false" customHeight="false" outlineLevel="0" collapsed="false">
      <c r="C154" s="14"/>
      <c r="D154" s="14"/>
      <c r="E154" s="14"/>
      <c r="F154" s="14"/>
      <c r="G154" s="14"/>
      <c r="H154" s="14"/>
    </row>
    <row r="155" customFormat="false" ht="15.75" hidden="false" customHeight="false" outlineLevel="0" collapsed="false">
      <c r="C155" s="14"/>
      <c r="D155" s="14"/>
      <c r="E155" s="14"/>
      <c r="F155" s="14"/>
      <c r="G155" s="14"/>
      <c r="H155" s="14"/>
    </row>
    <row r="156" customFormat="false" ht="15.75" hidden="false" customHeight="false" outlineLevel="0" collapsed="false">
      <c r="C156" s="14"/>
      <c r="D156" s="14"/>
      <c r="E156" s="14"/>
      <c r="F156" s="14"/>
      <c r="G156" s="14"/>
      <c r="H156" s="14"/>
    </row>
    <row r="157" customFormat="false" ht="15.75" hidden="false" customHeight="false" outlineLevel="0" collapsed="false">
      <c r="C157" s="14"/>
      <c r="D157" s="14"/>
      <c r="E157" s="14"/>
      <c r="F157" s="14"/>
      <c r="G157" s="14"/>
      <c r="H157" s="14"/>
    </row>
    <row r="158" customFormat="false" ht="15.75" hidden="false" customHeight="false" outlineLevel="0" collapsed="false">
      <c r="C158" s="14"/>
      <c r="D158" s="14"/>
      <c r="E158" s="14"/>
      <c r="F158" s="14"/>
      <c r="G158" s="14"/>
      <c r="H158" s="14"/>
    </row>
    <row r="159" customFormat="false" ht="15.75" hidden="false" customHeight="false" outlineLevel="0" collapsed="false">
      <c r="C159" s="14"/>
      <c r="D159" s="14"/>
      <c r="E159" s="14"/>
      <c r="F159" s="14"/>
      <c r="G159" s="14"/>
      <c r="H159" s="14"/>
    </row>
    <row r="160" customFormat="false" ht="15.75" hidden="false" customHeight="false" outlineLevel="0" collapsed="false">
      <c r="C160" s="14"/>
      <c r="D160" s="14"/>
      <c r="E160" s="14"/>
      <c r="F160" s="14"/>
      <c r="G160" s="14"/>
      <c r="H160" s="14"/>
    </row>
    <row r="161" customFormat="false" ht="15.75" hidden="false" customHeight="false" outlineLevel="0" collapsed="false">
      <c r="C161" s="14"/>
      <c r="D161" s="14"/>
      <c r="E161" s="14"/>
      <c r="F161" s="14"/>
      <c r="G161" s="14"/>
      <c r="H161" s="14"/>
    </row>
    <row r="162" customFormat="false" ht="15.75" hidden="false" customHeight="false" outlineLevel="0" collapsed="false">
      <c r="C162" s="14"/>
      <c r="D162" s="14"/>
      <c r="E162" s="14"/>
      <c r="F162" s="14"/>
      <c r="G162" s="14"/>
      <c r="H162" s="14"/>
    </row>
    <row r="163" customFormat="false" ht="15.75" hidden="false" customHeight="false" outlineLevel="0" collapsed="false">
      <c r="C163" s="14"/>
      <c r="D163" s="14"/>
      <c r="E163" s="14"/>
      <c r="F163" s="14"/>
      <c r="G163" s="14"/>
      <c r="H163" s="14"/>
    </row>
    <row r="164" customFormat="false" ht="15.75" hidden="false" customHeight="false" outlineLevel="0" collapsed="false">
      <c r="C164" s="14"/>
      <c r="D164" s="14"/>
      <c r="E164" s="14"/>
      <c r="F164" s="14"/>
      <c r="G164" s="14"/>
      <c r="H164" s="14"/>
    </row>
    <row r="165" customFormat="false" ht="15.75" hidden="false" customHeight="false" outlineLevel="0" collapsed="false">
      <c r="C165" s="14"/>
      <c r="D165" s="14"/>
      <c r="E165" s="14"/>
      <c r="F165" s="14"/>
      <c r="G165" s="14"/>
      <c r="H165" s="14"/>
    </row>
    <row r="166" customFormat="false" ht="15.75" hidden="false" customHeight="false" outlineLevel="0" collapsed="false">
      <c r="C166" s="14"/>
      <c r="D166" s="14"/>
      <c r="E166" s="14"/>
      <c r="F166" s="14"/>
      <c r="G166" s="14"/>
      <c r="H166" s="14"/>
    </row>
    <row r="167" customFormat="false" ht="15.75" hidden="false" customHeight="false" outlineLevel="0" collapsed="false">
      <c r="C167" s="14"/>
      <c r="D167" s="14"/>
      <c r="E167" s="14"/>
      <c r="F167" s="14"/>
      <c r="G167" s="14"/>
      <c r="H167" s="14"/>
    </row>
    <row r="168" customFormat="false" ht="15.75" hidden="false" customHeight="false" outlineLevel="0" collapsed="false">
      <c r="C168" s="14"/>
      <c r="D168" s="14"/>
      <c r="E168" s="14"/>
      <c r="F168" s="14"/>
      <c r="G168" s="14"/>
      <c r="H168" s="14"/>
    </row>
    <row r="169" customFormat="false" ht="15.75" hidden="false" customHeight="false" outlineLevel="0" collapsed="false">
      <c r="C169" s="14"/>
      <c r="D169" s="14"/>
      <c r="E169" s="14"/>
      <c r="F169" s="14"/>
      <c r="G169" s="14"/>
      <c r="H169" s="14"/>
    </row>
    <row r="170" customFormat="false" ht="15.75" hidden="false" customHeight="false" outlineLevel="0" collapsed="false">
      <c r="C170" s="14"/>
      <c r="D170" s="14"/>
      <c r="E170" s="14"/>
      <c r="F170" s="14"/>
      <c r="G170" s="14"/>
      <c r="H170" s="14"/>
    </row>
    <row r="171" customFormat="false" ht="15.75" hidden="false" customHeight="false" outlineLevel="0" collapsed="false">
      <c r="C171" s="14"/>
      <c r="D171" s="14"/>
      <c r="E171" s="14"/>
      <c r="F171" s="14"/>
      <c r="G171" s="14"/>
      <c r="H171" s="14"/>
    </row>
    <row r="172" customFormat="false" ht="15.75" hidden="false" customHeight="false" outlineLevel="0" collapsed="false">
      <c r="C172" s="14"/>
      <c r="D172" s="14"/>
      <c r="E172" s="14"/>
      <c r="F172" s="14"/>
      <c r="G172" s="14"/>
      <c r="H172" s="14"/>
    </row>
    <row r="173" customFormat="false" ht="15.75" hidden="false" customHeight="false" outlineLevel="0" collapsed="false">
      <c r="C173" s="14"/>
      <c r="D173" s="14"/>
      <c r="E173" s="14"/>
      <c r="F173" s="14"/>
      <c r="G173" s="14"/>
      <c r="H173" s="14"/>
    </row>
    <row r="174" customFormat="false" ht="15.75" hidden="false" customHeight="false" outlineLevel="0" collapsed="false">
      <c r="C174" s="14"/>
      <c r="D174" s="14"/>
      <c r="E174" s="14"/>
      <c r="F174" s="14"/>
      <c r="G174" s="14"/>
      <c r="H174" s="14"/>
    </row>
    <row r="175" customFormat="false" ht="15.75" hidden="false" customHeight="false" outlineLevel="0" collapsed="false">
      <c r="C175" s="14"/>
      <c r="D175" s="14"/>
      <c r="E175" s="14"/>
      <c r="F175" s="14"/>
      <c r="G175" s="14"/>
      <c r="H175" s="14"/>
    </row>
    <row r="176" customFormat="false" ht="15.75" hidden="false" customHeight="false" outlineLevel="0" collapsed="false">
      <c r="C176" s="14"/>
      <c r="D176" s="14"/>
      <c r="E176" s="14"/>
      <c r="F176" s="14"/>
      <c r="G176" s="14"/>
      <c r="H176" s="14"/>
    </row>
    <row r="177" customFormat="false" ht="15.75" hidden="false" customHeight="false" outlineLevel="0" collapsed="false">
      <c r="C177" s="14"/>
      <c r="D177" s="14"/>
      <c r="E177" s="14"/>
      <c r="F177" s="14"/>
      <c r="G177" s="14"/>
      <c r="H177" s="14"/>
    </row>
    <row r="178" customFormat="false" ht="15.75" hidden="false" customHeight="false" outlineLevel="0" collapsed="false">
      <c r="C178" s="14"/>
      <c r="D178" s="14"/>
      <c r="E178" s="14"/>
      <c r="F178" s="14"/>
      <c r="G178" s="14"/>
      <c r="H178" s="14"/>
    </row>
    <row r="179" customFormat="false" ht="15.75" hidden="false" customHeight="false" outlineLevel="0" collapsed="false">
      <c r="C179" s="14"/>
      <c r="D179" s="14"/>
      <c r="E179" s="14"/>
      <c r="F179" s="14"/>
      <c r="G179" s="14"/>
      <c r="H179" s="14"/>
    </row>
    <row r="180" customFormat="false" ht="15.75" hidden="false" customHeight="false" outlineLevel="0" collapsed="false">
      <c r="C180" s="14"/>
      <c r="D180" s="14"/>
      <c r="E180" s="14"/>
      <c r="F180" s="14"/>
      <c r="G180" s="14"/>
      <c r="H180" s="14"/>
    </row>
    <row r="181" customFormat="false" ht="15.75" hidden="false" customHeight="false" outlineLevel="0" collapsed="false">
      <c r="C181" s="14"/>
      <c r="D181" s="14"/>
      <c r="E181" s="14"/>
      <c r="F181" s="14"/>
      <c r="G181" s="14"/>
      <c r="H181" s="14"/>
    </row>
    <row r="182" customFormat="false" ht="15.75" hidden="false" customHeight="false" outlineLevel="0" collapsed="false">
      <c r="C182" s="14"/>
      <c r="D182" s="14"/>
      <c r="E182" s="14"/>
      <c r="F182" s="14"/>
      <c r="G182" s="14"/>
      <c r="H182" s="14"/>
    </row>
    <row r="183" customFormat="false" ht="15.75" hidden="false" customHeight="false" outlineLevel="0" collapsed="false">
      <c r="C183" s="14"/>
      <c r="D183" s="14"/>
      <c r="E183" s="14"/>
      <c r="F183" s="14"/>
      <c r="G183" s="14"/>
      <c r="H183" s="14"/>
    </row>
    <row r="184" customFormat="false" ht="15.75" hidden="false" customHeight="false" outlineLevel="0" collapsed="false">
      <c r="C184" s="14"/>
      <c r="D184" s="14"/>
      <c r="E184" s="14"/>
      <c r="F184" s="14"/>
      <c r="G184" s="14"/>
      <c r="H184" s="14"/>
    </row>
    <row r="185" customFormat="false" ht="15.75" hidden="false" customHeight="false" outlineLevel="0" collapsed="false">
      <c r="C185" s="14"/>
      <c r="D185" s="14"/>
      <c r="E185" s="14"/>
      <c r="F185" s="14"/>
      <c r="G185" s="14"/>
      <c r="H185" s="14"/>
    </row>
    <row r="186" customFormat="false" ht="15.75" hidden="false" customHeight="false" outlineLevel="0" collapsed="false">
      <c r="C186" s="14"/>
      <c r="D186" s="14"/>
      <c r="E186" s="14"/>
      <c r="F186" s="14"/>
      <c r="G186" s="14"/>
      <c r="H186" s="14"/>
    </row>
    <row r="187" customFormat="false" ht="15.75" hidden="false" customHeight="false" outlineLevel="0" collapsed="false">
      <c r="C187" s="14"/>
      <c r="D187" s="14"/>
      <c r="E187" s="14"/>
      <c r="F187" s="14"/>
      <c r="G187" s="14"/>
      <c r="H187" s="14"/>
    </row>
    <row r="188" customFormat="false" ht="15.75" hidden="false" customHeight="false" outlineLevel="0" collapsed="false">
      <c r="C188" s="14"/>
      <c r="D188" s="14"/>
      <c r="E188" s="14"/>
      <c r="F188" s="14"/>
      <c r="G188" s="14"/>
      <c r="H188" s="14"/>
    </row>
    <row r="189" customFormat="false" ht="15.75" hidden="false" customHeight="false" outlineLevel="0" collapsed="false">
      <c r="C189" s="14"/>
      <c r="D189" s="14"/>
      <c r="E189" s="14"/>
      <c r="F189" s="14"/>
      <c r="G189" s="14"/>
      <c r="H189" s="14"/>
    </row>
    <row r="190" customFormat="false" ht="15.75" hidden="false" customHeight="false" outlineLevel="0" collapsed="false">
      <c r="C190" s="14"/>
      <c r="D190" s="14"/>
      <c r="E190" s="14"/>
      <c r="F190" s="14"/>
      <c r="G190" s="14"/>
      <c r="H190" s="14"/>
    </row>
    <row r="191" customFormat="false" ht="15.75" hidden="false" customHeight="false" outlineLevel="0" collapsed="false">
      <c r="C191" s="14"/>
      <c r="D191" s="14"/>
      <c r="E191" s="14"/>
      <c r="F191" s="14"/>
      <c r="G191" s="14"/>
      <c r="H191" s="14"/>
    </row>
    <row r="192" customFormat="false" ht="15.75" hidden="false" customHeight="false" outlineLevel="0" collapsed="false">
      <c r="C192" s="14"/>
      <c r="D192" s="14"/>
      <c r="E192" s="14"/>
      <c r="F192" s="14"/>
      <c r="G192" s="14"/>
      <c r="H192" s="14"/>
    </row>
    <row r="193" customFormat="false" ht="15.75" hidden="false" customHeight="false" outlineLevel="0" collapsed="false">
      <c r="C193" s="14"/>
      <c r="D193" s="14"/>
      <c r="E193" s="14"/>
      <c r="F193" s="14"/>
      <c r="G193" s="14"/>
      <c r="H193" s="14"/>
    </row>
    <row r="194" customFormat="false" ht="15.75" hidden="false" customHeight="false" outlineLevel="0" collapsed="false">
      <c r="C194" s="14"/>
      <c r="D194" s="14"/>
      <c r="E194" s="14"/>
      <c r="F194" s="14"/>
      <c r="G194" s="14"/>
      <c r="H194" s="14"/>
    </row>
    <row r="195" customFormat="false" ht="15.75" hidden="false" customHeight="false" outlineLevel="0" collapsed="false">
      <c r="C195" s="14"/>
      <c r="D195" s="14"/>
      <c r="E195" s="14"/>
      <c r="F195" s="14"/>
      <c r="G195" s="14"/>
      <c r="H195" s="14"/>
    </row>
    <row r="196" customFormat="false" ht="15.75" hidden="false" customHeight="false" outlineLevel="0" collapsed="false">
      <c r="C196" s="14"/>
      <c r="D196" s="14"/>
      <c r="E196" s="14"/>
      <c r="F196" s="14"/>
      <c r="G196" s="14"/>
      <c r="H196" s="14"/>
    </row>
    <row r="197" customFormat="false" ht="15.75" hidden="false" customHeight="false" outlineLevel="0" collapsed="false">
      <c r="C197" s="14"/>
      <c r="D197" s="14"/>
      <c r="E197" s="14"/>
      <c r="F197" s="14"/>
      <c r="G197" s="14"/>
      <c r="H197" s="14"/>
    </row>
    <row r="198" customFormat="false" ht="15.75" hidden="false" customHeight="false" outlineLevel="0" collapsed="false">
      <c r="C198" s="14"/>
      <c r="D198" s="14"/>
      <c r="E198" s="14"/>
      <c r="F198" s="14"/>
      <c r="G198" s="14"/>
      <c r="H198" s="14"/>
    </row>
    <row r="199" customFormat="false" ht="15.75" hidden="false" customHeight="false" outlineLevel="0" collapsed="false">
      <c r="C199" s="14"/>
      <c r="D199" s="14"/>
      <c r="E199" s="14"/>
      <c r="F199" s="14"/>
      <c r="G199" s="14"/>
      <c r="H199" s="14"/>
    </row>
    <row r="200" customFormat="false" ht="15.75" hidden="false" customHeight="false" outlineLevel="0" collapsed="false">
      <c r="C200" s="14"/>
      <c r="D200" s="14"/>
      <c r="E200" s="14"/>
      <c r="F200" s="14"/>
      <c r="G200" s="14"/>
      <c r="H200" s="14"/>
    </row>
    <row r="201" customFormat="false" ht="15.75" hidden="false" customHeight="false" outlineLevel="0" collapsed="false">
      <c r="C201" s="14"/>
      <c r="D201" s="14"/>
      <c r="E201" s="14"/>
      <c r="F201" s="14"/>
      <c r="G201" s="14"/>
      <c r="H201" s="14"/>
    </row>
    <row r="202" customFormat="false" ht="15.75" hidden="false" customHeight="false" outlineLevel="0" collapsed="false">
      <c r="C202" s="14"/>
      <c r="D202" s="14"/>
      <c r="E202" s="14"/>
      <c r="F202" s="14"/>
      <c r="G202" s="14"/>
      <c r="H202" s="14"/>
    </row>
    <row r="203" customFormat="false" ht="15.75" hidden="false" customHeight="false" outlineLevel="0" collapsed="false">
      <c r="C203" s="14"/>
      <c r="D203" s="14"/>
      <c r="E203" s="14"/>
      <c r="F203" s="14"/>
      <c r="G203" s="14"/>
      <c r="H203" s="14"/>
    </row>
    <row r="204" customFormat="false" ht="15.75" hidden="false" customHeight="false" outlineLevel="0" collapsed="false">
      <c r="C204" s="14"/>
      <c r="D204" s="14"/>
      <c r="E204" s="14"/>
      <c r="F204" s="14"/>
      <c r="G204" s="14"/>
      <c r="H204" s="14"/>
    </row>
    <row r="205" customFormat="false" ht="15.75" hidden="false" customHeight="false" outlineLevel="0" collapsed="false">
      <c r="C205" s="14"/>
      <c r="D205" s="14"/>
      <c r="E205" s="14"/>
      <c r="F205" s="14"/>
      <c r="G205" s="14"/>
      <c r="H205" s="14"/>
    </row>
    <row r="206" customFormat="false" ht="15.75" hidden="false" customHeight="false" outlineLevel="0" collapsed="false">
      <c r="C206" s="14"/>
      <c r="D206" s="14"/>
      <c r="E206" s="14"/>
      <c r="F206" s="14"/>
      <c r="G206" s="14"/>
      <c r="H206" s="14"/>
    </row>
    <row r="207" customFormat="false" ht="15.75" hidden="false" customHeight="false" outlineLevel="0" collapsed="false">
      <c r="C207" s="14"/>
      <c r="D207" s="14"/>
      <c r="E207" s="14"/>
      <c r="F207" s="14"/>
      <c r="G207" s="14"/>
      <c r="H207" s="14"/>
    </row>
    <row r="208" customFormat="false" ht="15.75" hidden="false" customHeight="false" outlineLevel="0" collapsed="false">
      <c r="C208" s="14"/>
      <c r="D208" s="14"/>
      <c r="E208" s="14"/>
      <c r="F208" s="14"/>
      <c r="G208" s="14"/>
      <c r="H208" s="14"/>
    </row>
    <row r="209" customFormat="false" ht="15.75" hidden="false" customHeight="false" outlineLevel="0" collapsed="false">
      <c r="C209" s="14"/>
      <c r="D209" s="14"/>
      <c r="E209" s="14"/>
      <c r="F209" s="14"/>
      <c r="G209" s="14"/>
      <c r="H209" s="14"/>
    </row>
    <row r="210" customFormat="false" ht="15.75" hidden="false" customHeight="false" outlineLevel="0" collapsed="false">
      <c r="C210" s="14"/>
      <c r="D210" s="14"/>
      <c r="E210" s="14"/>
      <c r="F210" s="14"/>
      <c r="G210" s="14"/>
      <c r="H210" s="14"/>
    </row>
    <row r="211" customFormat="false" ht="15.75" hidden="false" customHeight="false" outlineLevel="0" collapsed="false">
      <c r="C211" s="14"/>
      <c r="D211" s="14"/>
      <c r="E211" s="14"/>
      <c r="F211" s="14"/>
      <c r="G211" s="14"/>
      <c r="H211" s="14"/>
    </row>
    <row r="212" customFormat="false" ht="15.75" hidden="false" customHeight="false" outlineLevel="0" collapsed="false">
      <c r="C212" s="14"/>
      <c r="D212" s="14"/>
      <c r="E212" s="14"/>
      <c r="F212" s="14"/>
      <c r="G212" s="14"/>
      <c r="H212" s="14"/>
    </row>
    <row r="213" customFormat="false" ht="15.75" hidden="false" customHeight="false" outlineLevel="0" collapsed="false">
      <c r="C213" s="14"/>
      <c r="D213" s="14"/>
      <c r="E213" s="14"/>
      <c r="F213" s="14"/>
      <c r="G213" s="14"/>
      <c r="H213" s="14"/>
    </row>
    <row r="214" customFormat="false" ht="15.75" hidden="false" customHeight="false" outlineLevel="0" collapsed="false">
      <c r="C214" s="14"/>
      <c r="D214" s="14"/>
      <c r="E214" s="14"/>
      <c r="F214" s="14"/>
      <c r="G214" s="14"/>
      <c r="H214" s="14"/>
    </row>
    <row r="215" customFormat="false" ht="15.75" hidden="false" customHeight="false" outlineLevel="0" collapsed="false">
      <c r="C215" s="14"/>
      <c r="D215" s="14"/>
      <c r="E215" s="14"/>
      <c r="F215" s="14"/>
      <c r="G215" s="14"/>
      <c r="H215" s="14"/>
    </row>
    <row r="216" customFormat="false" ht="15.75" hidden="false" customHeight="false" outlineLevel="0" collapsed="false">
      <c r="C216" s="14"/>
      <c r="D216" s="14"/>
      <c r="E216" s="14"/>
      <c r="F216" s="14"/>
      <c r="G216" s="14"/>
      <c r="H216" s="14"/>
    </row>
    <row r="217" customFormat="false" ht="15.75" hidden="false" customHeight="false" outlineLevel="0" collapsed="false">
      <c r="C217" s="14"/>
      <c r="D217" s="14"/>
      <c r="E217" s="14"/>
      <c r="F217" s="14"/>
      <c r="G217" s="14"/>
      <c r="H217" s="14"/>
    </row>
    <row r="218" customFormat="false" ht="15.75" hidden="false" customHeight="false" outlineLevel="0" collapsed="false">
      <c r="C218" s="14"/>
      <c r="D218" s="14"/>
      <c r="E218" s="14"/>
      <c r="F218" s="14"/>
      <c r="G218" s="14"/>
      <c r="H218" s="14"/>
    </row>
    <row r="219" customFormat="false" ht="15.75" hidden="false" customHeight="false" outlineLevel="0" collapsed="false">
      <c r="C219" s="14"/>
      <c r="D219" s="14"/>
      <c r="E219" s="14"/>
      <c r="F219" s="14"/>
      <c r="G219" s="14"/>
      <c r="H219" s="14"/>
    </row>
    <row r="220" customFormat="false" ht="15.75" hidden="false" customHeight="false" outlineLevel="0" collapsed="false">
      <c r="C220" s="14"/>
      <c r="D220" s="14"/>
      <c r="E220" s="14"/>
      <c r="F220" s="14"/>
      <c r="G220" s="14"/>
      <c r="H220" s="14"/>
    </row>
    <row r="221" customFormat="false" ht="15.75" hidden="false" customHeight="false" outlineLevel="0" collapsed="false">
      <c r="C221" s="14"/>
      <c r="D221" s="14"/>
      <c r="E221" s="14"/>
      <c r="F221" s="14"/>
      <c r="G221" s="14"/>
      <c r="H221" s="14"/>
    </row>
    <row r="222" customFormat="false" ht="15.75" hidden="false" customHeight="false" outlineLevel="0" collapsed="false">
      <c r="C222" s="14"/>
      <c r="D222" s="14"/>
      <c r="E222" s="14"/>
      <c r="F222" s="14"/>
      <c r="G222" s="14"/>
      <c r="H222" s="14"/>
    </row>
    <row r="223" customFormat="false" ht="15.75" hidden="false" customHeight="false" outlineLevel="0" collapsed="false">
      <c r="C223" s="14"/>
      <c r="D223" s="14"/>
      <c r="E223" s="14"/>
      <c r="F223" s="14"/>
      <c r="G223" s="14"/>
      <c r="H223" s="14"/>
    </row>
    <row r="224" customFormat="false" ht="15.75" hidden="false" customHeight="false" outlineLevel="0" collapsed="false">
      <c r="C224" s="14"/>
      <c r="D224" s="14"/>
      <c r="E224" s="14"/>
      <c r="F224" s="14"/>
      <c r="G224" s="14"/>
      <c r="H224" s="14"/>
    </row>
    <row r="225" customFormat="false" ht="15.75" hidden="false" customHeight="false" outlineLevel="0" collapsed="false">
      <c r="C225" s="14"/>
      <c r="D225" s="14"/>
      <c r="E225" s="14"/>
      <c r="F225" s="14"/>
      <c r="G225" s="14"/>
      <c r="H225" s="14"/>
    </row>
    <row r="226" customFormat="false" ht="15.75" hidden="false" customHeight="false" outlineLevel="0" collapsed="false">
      <c r="C226" s="14"/>
      <c r="D226" s="14"/>
      <c r="E226" s="14"/>
      <c r="F226" s="14"/>
      <c r="G226" s="14"/>
      <c r="H226" s="14"/>
    </row>
    <row r="227" customFormat="false" ht="15.75" hidden="false" customHeight="false" outlineLevel="0" collapsed="false">
      <c r="C227" s="14"/>
      <c r="D227" s="14"/>
      <c r="E227" s="14"/>
      <c r="F227" s="14"/>
      <c r="G227" s="14"/>
      <c r="H227" s="14"/>
    </row>
    <row r="228" customFormat="false" ht="15.75" hidden="false" customHeight="false" outlineLevel="0" collapsed="false">
      <c r="C228" s="14"/>
      <c r="D228" s="14"/>
      <c r="E228" s="14"/>
      <c r="F228" s="14"/>
      <c r="G228" s="14"/>
      <c r="H228" s="14"/>
    </row>
    <row r="229" customFormat="false" ht="15.75" hidden="false" customHeight="false" outlineLevel="0" collapsed="false">
      <c r="C229" s="14"/>
      <c r="D229" s="14"/>
      <c r="E229" s="14"/>
      <c r="F229" s="14"/>
      <c r="G229" s="14"/>
      <c r="H229" s="14"/>
    </row>
    <row r="230" customFormat="false" ht="15.75" hidden="false" customHeight="false" outlineLevel="0" collapsed="false">
      <c r="C230" s="14"/>
      <c r="D230" s="14"/>
      <c r="E230" s="14"/>
      <c r="F230" s="14"/>
      <c r="G230" s="14"/>
      <c r="H230" s="14"/>
    </row>
    <row r="231" customFormat="false" ht="15.75" hidden="false" customHeight="false" outlineLevel="0" collapsed="false">
      <c r="C231" s="14"/>
      <c r="D231" s="14"/>
      <c r="E231" s="14"/>
      <c r="F231" s="14"/>
      <c r="G231" s="14"/>
      <c r="H231" s="14"/>
    </row>
    <row r="232" customFormat="false" ht="15.75" hidden="false" customHeight="false" outlineLevel="0" collapsed="false">
      <c r="C232" s="14"/>
      <c r="D232" s="14"/>
      <c r="E232" s="14"/>
      <c r="F232" s="14"/>
      <c r="G232" s="14"/>
      <c r="H232" s="14"/>
    </row>
    <row r="233" customFormat="false" ht="15.75" hidden="false" customHeight="false" outlineLevel="0" collapsed="false">
      <c r="C233" s="14"/>
      <c r="D233" s="14"/>
      <c r="E233" s="14"/>
      <c r="F233" s="14"/>
      <c r="G233" s="14"/>
      <c r="H233" s="14"/>
    </row>
    <row r="234" customFormat="false" ht="15.75" hidden="false" customHeight="false" outlineLevel="0" collapsed="false">
      <c r="C234" s="14"/>
      <c r="D234" s="14"/>
      <c r="E234" s="14"/>
      <c r="F234" s="14"/>
      <c r="G234" s="14"/>
      <c r="H234" s="14"/>
    </row>
    <row r="235" customFormat="false" ht="15.75" hidden="false" customHeight="false" outlineLevel="0" collapsed="false">
      <c r="C235" s="14"/>
      <c r="D235" s="14"/>
      <c r="E235" s="14"/>
      <c r="F235" s="14"/>
      <c r="G235" s="14"/>
      <c r="H235" s="14"/>
    </row>
    <row r="236" customFormat="false" ht="15.75" hidden="false" customHeight="false" outlineLevel="0" collapsed="false">
      <c r="C236" s="14"/>
      <c r="D236" s="14"/>
      <c r="E236" s="14"/>
      <c r="F236" s="14"/>
      <c r="G236" s="14"/>
      <c r="H236" s="14"/>
    </row>
    <row r="237" customFormat="false" ht="15.75" hidden="false" customHeight="false" outlineLevel="0" collapsed="false">
      <c r="C237" s="14"/>
      <c r="D237" s="14"/>
      <c r="E237" s="14"/>
      <c r="F237" s="14"/>
      <c r="G237" s="14"/>
      <c r="H237" s="14"/>
    </row>
    <row r="238" customFormat="false" ht="15.75" hidden="false" customHeight="false" outlineLevel="0" collapsed="false">
      <c r="C238" s="14"/>
      <c r="D238" s="14"/>
      <c r="E238" s="14"/>
      <c r="F238" s="14"/>
      <c r="G238" s="14"/>
      <c r="H238" s="14"/>
    </row>
    <row r="239" customFormat="false" ht="15.75" hidden="false" customHeight="false" outlineLevel="0" collapsed="false">
      <c r="C239" s="14"/>
      <c r="D239" s="14"/>
      <c r="E239" s="14"/>
      <c r="F239" s="14"/>
      <c r="G239" s="14"/>
      <c r="H239" s="14"/>
    </row>
    <row r="240" customFormat="false" ht="15.75" hidden="false" customHeight="false" outlineLevel="0" collapsed="false">
      <c r="C240" s="14"/>
      <c r="D240" s="14"/>
      <c r="E240" s="14"/>
      <c r="F240" s="14"/>
      <c r="G240" s="14"/>
      <c r="H240" s="14"/>
    </row>
    <row r="241" customFormat="false" ht="15.75" hidden="false" customHeight="false" outlineLevel="0" collapsed="false">
      <c r="C241" s="14"/>
      <c r="D241" s="14"/>
      <c r="E241" s="14"/>
      <c r="F241" s="14"/>
      <c r="G241" s="14"/>
      <c r="H241" s="14"/>
    </row>
    <row r="242" customFormat="false" ht="15.75" hidden="false" customHeight="false" outlineLevel="0" collapsed="false">
      <c r="C242" s="14"/>
      <c r="D242" s="14"/>
      <c r="E242" s="14"/>
      <c r="F242" s="14"/>
      <c r="G242" s="14"/>
      <c r="H242" s="14"/>
    </row>
    <row r="243" customFormat="false" ht="15.75" hidden="false" customHeight="false" outlineLevel="0" collapsed="false">
      <c r="C243" s="14"/>
      <c r="D243" s="14"/>
      <c r="E243" s="14"/>
      <c r="F243" s="14"/>
      <c r="G243" s="14"/>
      <c r="H243" s="14"/>
    </row>
    <row r="244" customFormat="false" ht="15.75" hidden="false" customHeight="false" outlineLevel="0" collapsed="false">
      <c r="C244" s="14"/>
      <c r="D244" s="14"/>
      <c r="E244" s="14"/>
      <c r="F244" s="14"/>
      <c r="G244" s="14"/>
      <c r="H244" s="14"/>
    </row>
    <row r="245" customFormat="false" ht="15.75" hidden="false" customHeight="false" outlineLevel="0" collapsed="false">
      <c r="C245" s="14"/>
      <c r="D245" s="14"/>
      <c r="E245" s="14"/>
      <c r="F245" s="14"/>
      <c r="G245" s="14"/>
      <c r="H245" s="14"/>
    </row>
    <row r="246" customFormat="false" ht="15.75" hidden="false" customHeight="false" outlineLevel="0" collapsed="false">
      <c r="C246" s="14"/>
      <c r="D246" s="14"/>
      <c r="E246" s="14"/>
      <c r="F246" s="14"/>
      <c r="G246" s="14"/>
      <c r="H246" s="14"/>
    </row>
    <row r="247" customFormat="false" ht="15.75" hidden="false" customHeight="false" outlineLevel="0" collapsed="false">
      <c r="C247" s="14"/>
      <c r="D247" s="14"/>
      <c r="E247" s="14"/>
      <c r="F247" s="14"/>
      <c r="G247" s="14"/>
      <c r="H247" s="14"/>
    </row>
    <row r="248" customFormat="false" ht="15.75" hidden="false" customHeight="false" outlineLevel="0" collapsed="false">
      <c r="C248" s="14"/>
      <c r="D248" s="14"/>
      <c r="E248" s="14"/>
      <c r="F248" s="14"/>
      <c r="G248" s="14"/>
      <c r="H248" s="14"/>
    </row>
    <row r="249" customFormat="false" ht="15.75" hidden="false" customHeight="false" outlineLevel="0" collapsed="false">
      <c r="C249" s="14"/>
      <c r="D249" s="14"/>
      <c r="E249" s="14"/>
      <c r="F249" s="14"/>
      <c r="G249" s="14"/>
      <c r="H249" s="14"/>
    </row>
    <row r="250" customFormat="false" ht="15.75" hidden="false" customHeight="false" outlineLevel="0" collapsed="false">
      <c r="C250" s="14"/>
      <c r="D250" s="14"/>
      <c r="E250" s="14"/>
      <c r="F250" s="14"/>
      <c r="G250" s="14"/>
      <c r="H250" s="14"/>
    </row>
    <row r="251" customFormat="false" ht="15.75" hidden="false" customHeight="false" outlineLevel="0" collapsed="false">
      <c r="C251" s="14"/>
      <c r="D251" s="14"/>
      <c r="E251" s="14"/>
      <c r="F251" s="14"/>
      <c r="G251" s="14"/>
      <c r="H251" s="14"/>
    </row>
    <row r="252" customFormat="false" ht="15.75" hidden="false" customHeight="false" outlineLevel="0" collapsed="false">
      <c r="C252" s="14"/>
      <c r="D252" s="14"/>
      <c r="E252" s="14"/>
      <c r="F252" s="14"/>
      <c r="G252" s="14"/>
      <c r="H252" s="14"/>
    </row>
    <row r="253" customFormat="false" ht="15.75" hidden="false" customHeight="false" outlineLevel="0" collapsed="false">
      <c r="C253" s="14"/>
      <c r="D253" s="14"/>
      <c r="E253" s="14"/>
      <c r="F253" s="14"/>
      <c r="G253" s="14"/>
      <c r="H253" s="14"/>
    </row>
    <row r="254" customFormat="false" ht="15.75" hidden="false" customHeight="false" outlineLevel="0" collapsed="false">
      <c r="C254" s="14"/>
      <c r="D254" s="14"/>
      <c r="E254" s="14"/>
      <c r="F254" s="14"/>
      <c r="G254" s="14"/>
      <c r="H254" s="14"/>
    </row>
    <row r="255" customFormat="false" ht="15.75" hidden="false" customHeight="false" outlineLevel="0" collapsed="false">
      <c r="C255" s="14"/>
      <c r="D255" s="14"/>
      <c r="E255" s="14"/>
      <c r="F255" s="14"/>
      <c r="G255" s="14"/>
      <c r="H255" s="14"/>
    </row>
    <row r="256" customFormat="false" ht="15.75" hidden="false" customHeight="false" outlineLevel="0" collapsed="false">
      <c r="C256" s="14"/>
      <c r="D256" s="14"/>
      <c r="E256" s="14"/>
      <c r="F256" s="14"/>
      <c r="G256" s="14"/>
      <c r="H256" s="14"/>
    </row>
    <row r="257" customFormat="false" ht="15.75" hidden="false" customHeight="false" outlineLevel="0" collapsed="false">
      <c r="C257" s="14"/>
      <c r="D257" s="14"/>
      <c r="E257" s="14"/>
      <c r="F257" s="14"/>
      <c r="G257" s="14"/>
      <c r="H257" s="14"/>
    </row>
    <row r="258" customFormat="false" ht="15.75" hidden="false" customHeight="false" outlineLevel="0" collapsed="false">
      <c r="C258" s="14"/>
      <c r="D258" s="14"/>
      <c r="E258" s="14"/>
      <c r="F258" s="14"/>
      <c r="G258" s="14"/>
      <c r="H258" s="14"/>
    </row>
    <row r="259" customFormat="false" ht="15.75" hidden="false" customHeight="false" outlineLevel="0" collapsed="false">
      <c r="C259" s="14"/>
      <c r="D259" s="14"/>
      <c r="E259" s="14"/>
      <c r="F259" s="14"/>
      <c r="G259" s="14"/>
      <c r="H259" s="14"/>
    </row>
    <row r="260" customFormat="false" ht="15.75" hidden="false" customHeight="false" outlineLevel="0" collapsed="false">
      <c r="C260" s="14"/>
      <c r="D260" s="14"/>
      <c r="E260" s="14"/>
      <c r="F260" s="14"/>
      <c r="G260" s="14"/>
      <c r="H260" s="14"/>
    </row>
    <row r="261" customFormat="false" ht="15.75" hidden="false" customHeight="false" outlineLevel="0" collapsed="false">
      <c r="C261" s="14"/>
      <c r="D261" s="14"/>
      <c r="E261" s="14"/>
      <c r="F261" s="14"/>
      <c r="G261" s="14"/>
      <c r="H261" s="14"/>
    </row>
    <row r="262" customFormat="false" ht="15.75" hidden="false" customHeight="false" outlineLevel="0" collapsed="false">
      <c r="C262" s="14"/>
      <c r="D262" s="14"/>
      <c r="E262" s="14"/>
      <c r="F262" s="14"/>
      <c r="G262" s="14"/>
      <c r="H262" s="14"/>
    </row>
    <row r="263" customFormat="false" ht="15.75" hidden="false" customHeight="false" outlineLevel="0" collapsed="false">
      <c r="C263" s="14"/>
      <c r="D263" s="14"/>
      <c r="E263" s="14"/>
      <c r="F263" s="14"/>
      <c r="G263" s="14"/>
      <c r="H263" s="14"/>
    </row>
    <row r="264" customFormat="false" ht="15.75" hidden="false" customHeight="false" outlineLevel="0" collapsed="false">
      <c r="C264" s="14"/>
      <c r="D264" s="14"/>
      <c r="E264" s="14"/>
      <c r="F264" s="14"/>
      <c r="G264" s="14"/>
      <c r="H264" s="14"/>
    </row>
    <row r="265" customFormat="false" ht="15.75" hidden="false" customHeight="false" outlineLevel="0" collapsed="false">
      <c r="C265" s="14"/>
      <c r="D265" s="14"/>
      <c r="E265" s="14"/>
      <c r="F265" s="14"/>
      <c r="G265" s="14"/>
      <c r="H265" s="14"/>
    </row>
    <row r="266" customFormat="false" ht="15.75" hidden="false" customHeight="false" outlineLevel="0" collapsed="false">
      <c r="C266" s="14"/>
      <c r="D266" s="14"/>
      <c r="E266" s="14"/>
      <c r="F266" s="14"/>
      <c r="G266" s="14"/>
      <c r="H266" s="14"/>
    </row>
    <row r="267" customFormat="false" ht="15.75" hidden="false" customHeight="false" outlineLevel="0" collapsed="false">
      <c r="C267" s="14"/>
      <c r="D267" s="14"/>
      <c r="E267" s="14"/>
      <c r="F267" s="14"/>
      <c r="G267" s="14"/>
      <c r="H267" s="14"/>
    </row>
    <row r="268" customFormat="false" ht="15.75" hidden="false" customHeight="false" outlineLevel="0" collapsed="false">
      <c r="C268" s="14"/>
      <c r="D268" s="14"/>
      <c r="E268" s="14"/>
      <c r="F268" s="14"/>
      <c r="G268" s="14"/>
      <c r="H268" s="14"/>
    </row>
    <row r="269" customFormat="false" ht="15.75" hidden="false" customHeight="false" outlineLevel="0" collapsed="false">
      <c r="C269" s="14"/>
      <c r="D269" s="14"/>
      <c r="E269" s="14"/>
      <c r="F269" s="14"/>
      <c r="G269" s="14"/>
      <c r="H269" s="14"/>
    </row>
    <row r="270" customFormat="false" ht="15.75" hidden="false" customHeight="false" outlineLevel="0" collapsed="false">
      <c r="C270" s="14"/>
      <c r="D270" s="14"/>
      <c r="E270" s="14"/>
      <c r="F270" s="14"/>
      <c r="G270" s="14"/>
      <c r="H270" s="14"/>
    </row>
    <row r="271" customFormat="false" ht="15.75" hidden="false" customHeight="false" outlineLevel="0" collapsed="false">
      <c r="C271" s="14"/>
      <c r="D271" s="14"/>
      <c r="E271" s="14"/>
      <c r="F271" s="14"/>
      <c r="G271" s="14"/>
      <c r="H271" s="14"/>
    </row>
    <row r="272" customFormat="false" ht="15.75" hidden="false" customHeight="false" outlineLevel="0" collapsed="false">
      <c r="C272" s="14"/>
      <c r="D272" s="14"/>
      <c r="E272" s="14"/>
      <c r="F272" s="14"/>
      <c r="G272" s="14"/>
      <c r="H272" s="14"/>
    </row>
    <row r="273" customFormat="false" ht="15.75" hidden="false" customHeight="false" outlineLevel="0" collapsed="false">
      <c r="C273" s="14"/>
      <c r="D273" s="14"/>
      <c r="E273" s="14"/>
      <c r="F273" s="14"/>
      <c r="G273" s="14"/>
      <c r="H273" s="14"/>
    </row>
    <row r="274" customFormat="false" ht="15.75" hidden="false" customHeight="false" outlineLevel="0" collapsed="false">
      <c r="C274" s="14"/>
      <c r="D274" s="14"/>
      <c r="E274" s="14"/>
      <c r="F274" s="14"/>
      <c r="G274" s="14"/>
      <c r="H274" s="14"/>
    </row>
    <row r="275" customFormat="false" ht="15.75" hidden="false" customHeight="false" outlineLevel="0" collapsed="false">
      <c r="C275" s="14"/>
      <c r="D275" s="14"/>
      <c r="E275" s="14"/>
      <c r="F275" s="14"/>
      <c r="G275" s="14"/>
      <c r="H275" s="14"/>
    </row>
    <row r="276" customFormat="false" ht="15.75" hidden="false" customHeight="false" outlineLevel="0" collapsed="false">
      <c r="C276" s="14"/>
      <c r="D276" s="14"/>
      <c r="E276" s="14"/>
      <c r="F276" s="14"/>
      <c r="G276" s="14"/>
      <c r="H276" s="14"/>
    </row>
    <row r="277" customFormat="false" ht="15.75" hidden="false" customHeight="false" outlineLevel="0" collapsed="false">
      <c r="C277" s="14"/>
      <c r="D277" s="14"/>
      <c r="E277" s="14"/>
      <c r="F277" s="14"/>
      <c r="G277" s="14"/>
      <c r="H277" s="14"/>
    </row>
    <row r="278" customFormat="false" ht="15.75" hidden="false" customHeight="false" outlineLevel="0" collapsed="false">
      <c r="C278" s="14"/>
      <c r="D278" s="14"/>
      <c r="E278" s="14"/>
      <c r="F278" s="14"/>
      <c r="G278" s="14"/>
      <c r="H278" s="14"/>
    </row>
    <row r="279" customFormat="false" ht="15.75" hidden="false" customHeight="false" outlineLevel="0" collapsed="false">
      <c r="C279" s="14"/>
      <c r="D279" s="14"/>
      <c r="E279" s="14"/>
      <c r="F279" s="14"/>
      <c r="G279" s="14"/>
      <c r="H279" s="14"/>
    </row>
    <row r="280" customFormat="false" ht="15.75" hidden="false" customHeight="false" outlineLevel="0" collapsed="false">
      <c r="C280" s="14"/>
      <c r="D280" s="14"/>
      <c r="E280" s="14"/>
      <c r="F280" s="14"/>
      <c r="G280" s="14"/>
      <c r="H280" s="14"/>
    </row>
    <row r="281" customFormat="false" ht="15.75" hidden="false" customHeight="false" outlineLevel="0" collapsed="false">
      <c r="C281" s="14"/>
      <c r="D281" s="14"/>
      <c r="E281" s="14"/>
      <c r="F281" s="14"/>
      <c r="G281" s="14"/>
      <c r="H281" s="14"/>
    </row>
    <row r="282" customFormat="false" ht="15.75" hidden="false" customHeight="false" outlineLevel="0" collapsed="false">
      <c r="C282" s="14"/>
      <c r="D282" s="14"/>
      <c r="E282" s="14"/>
      <c r="F282" s="14"/>
      <c r="G282" s="14"/>
      <c r="H282" s="14"/>
    </row>
    <row r="283" customFormat="false" ht="15.75" hidden="false" customHeight="false" outlineLevel="0" collapsed="false">
      <c r="C283" s="14"/>
      <c r="D283" s="14"/>
      <c r="E283" s="14"/>
      <c r="F283" s="14"/>
      <c r="G283" s="14"/>
      <c r="H283" s="14"/>
    </row>
    <row r="284" customFormat="false" ht="15.75" hidden="false" customHeight="false" outlineLevel="0" collapsed="false">
      <c r="C284" s="14"/>
      <c r="D284" s="14"/>
      <c r="E284" s="14"/>
      <c r="F284" s="14"/>
      <c r="G284" s="14"/>
      <c r="H284" s="14"/>
    </row>
    <row r="285" customFormat="false" ht="15.75" hidden="false" customHeight="false" outlineLevel="0" collapsed="false">
      <c r="C285" s="14"/>
      <c r="D285" s="14"/>
      <c r="E285" s="14"/>
      <c r="F285" s="14"/>
      <c r="G285" s="14"/>
      <c r="H285" s="14"/>
    </row>
    <row r="286" customFormat="false" ht="15.75" hidden="false" customHeight="false" outlineLevel="0" collapsed="false">
      <c r="C286" s="14"/>
      <c r="D286" s="14"/>
      <c r="E286" s="14"/>
      <c r="F286" s="14"/>
      <c r="G286" s="14"/>
      <c r="H286" s="14"/>
    </row>
    <row r="287" customFormat="false" ht="15.75" hidden="false" customHeight="false" outlineLevel="0" collapsed="false">
      <c r="C287" s="14"/>
      <c r="D287" s="14"/>
      <c r="E287" s="14"/>
      <c r="F287" s="14"/>
      <c r="G287" s="14"/>
      <c r="H287" s="14"/>
    </row>
    <row r="288" customFormat="false" ht="15.75" hidden="false" customHeight="false" outlineLevel="0" collapsed="false">
      <c r="C288" s="14"/>
      <c r="D288" s="14"/>
      <c r="E288" s="14"/>
      <c r="F288" s="14"/>
      <c r="G288" s="14"/>
      <c r="H288" s="14"/>
    </row>
    <row r="289" customFormat="false" ht="15.75" hidden="false" customHeight="false" outlineLevel="0" collapsed="false">
      <c r="C289" s="14"/>
      <c r="D289" s="14"/>
      <c r="E289" s="14"/>
      <c r="F289" s="14"/>
      <c r="G289" s="14"/>
      <c r="H289" s="14"/>
    </row>
    <row r="290" customFormat="false" ht="15.75" hidden="false" customHeight="false" outlineLevel="0" collapsed="false">
      <c r="C290" s="14"/>
      <c r="D290" s="14"/>
      <c r="E290" s="14"/>
      <c r="F290" s="14"/>
      <c r="G290" s="14"/>
      <c r="H290" s="14"/>
    </row>
    <row r="291" customFormat="false" ht="15.75" hidden="false" customHeight="false" outlineLevel="0" collapsed="false">
      <c r="C291" s="14"/>
      <c r="D291" s="14"/>
      <c r="E291" s="14"/>
      <c r="F291" s="14"/>
      <c r="G291" s="14"/>
      <c r="H291" s="14"/>
    </row>
    <row r="292" customFormat="false" ht="15.75" hidden="false" customHeight="false" outlineLevel="0" collapsed="false">
      <c r="C292" s="14"/>
      <c r="D292" s="14"/>
      <c r="E292" s="14"/>
      <c r="F292" s="14"/>
      <c r="G292" s="14"/>
      <c r="H292" s="14"/>
    </row>
    <row r="293" customFormat="false" ht="15.75" hidden="false" customHeight="false" outlineLevel="0" collapsed="false">
      <c r="C293" s="14"/>
      <c r="D293" s="14"/>
      <c r="E293" s="14"/>
      <c r="F293" s="14"/>
      <c r="G293" s="14"/>
      <c r="H293" s="14"/>
    </row>
    <row r="294" customFormat="false" ht="15.75" hidden="false" customHeight="false" outlineLevel="0" collapsed="false">
      <c r="C294" s="14"/>
      <c r="D294" s="14"/>
      <c r="E294" s="14"/>
      <c r="F294" s="14"/>
      <c r="G294" s="14"/>
      <c r="H294" s="14"/>
    </row>
    <row r="295" customFormat="false" ht="15.75" hidden="false" customHeight="false" outlineLevel="0" collapsed="false">
      <c r="C295" s="14"/>
      <c r="D295" s="14"/>
      <c r="E295" s="14"/>
      <c r="F295" s="14"/>
      <c r="G295" s="14"/>
      <c r="H295" s="14"/>
    </row>
    <row r="296" customFormat="false" ht="15.75" hidden="false" customHeight="false" outlineLevel="0" collapsed="false">
      <c r="C296" s="14"/>
      <c r="D296" s="14"/>
      <c r="E296" s="14"/>
      <c r="F296" s="14"/>
      <c r="G296" s="14"/>
      <c r="H296" s="14"/>
    </row>
    <row r="297" customFormat="false" ht="15.75" hidden="false" customHeight="false" outlineLevel="0" collapsed="false">
      <c r="C297" s="14"/>
      <c r="D297" s="14"/>
      <c r="E297" s="14"/>
      <c r="F297" s="14"/>
      <c r="G297" s="14"/>
      <c r="H297" s="14"/>
    </row>
    <row r="298" customFormat="false" ht="15.75" hidden="false" customHeight="false" outlineLevel="0" collapsed="false">
      <c r="C298" s="14"/>
      <c r="D298" s="14"/>
      <c r="E298" s="14"/>
      <c r="F298" s="14"/>
      <c r="G298" s="14"/>
      <c r="H298" s="14"/>
    </row>
    <row r="299" customFormat="false" ht="15.75" hidden="false" customHeight="false" outlineLevel="0" collapsed="false">
      <c r="C299" s="14"/>
      <c r="D299" s="14"/>
      <c r="E299" s="14"/>
      <c r="F299" s="14"/>
      <c r="G299" s="14"/>
      <c r="H299" s="14"/>
    </row>
    <row r="300" customFormat="false" ht="15.75" hidden="false" customHeight="false" outlineLevel="0" collapsed="false">
      <c r="C300" s="14"/>
      <c r="D300" s="14"/>
      <c r="E300" s="14"/>
      <c r="F300" s="14"/>
      <c r="G300" s="14"/>
      <c r="H300" s="14"/>
    </row>
    <row r="301" customFormat="false" ht="15.75" hidden="false" customHeight="false" outlineLevel="0" collapsed="false">
      <c r="C301" s="14"/>
      <c r="D301" s="14"/>
      <c r="E301" s="14"/>
      <c r="F301" s="14"/>
      <c r="G301" s="14"/>
      <c r="H301" s="14"/>
    </row>
    <row r="302" customFormat="false" ht="15.75" hidden="false" customHeight="false" outlineLevel="0" collapsed="false">
      <c r="C302" s="14"/>
      <c r="D302" s="14"/>
      <c r="E302" s="14"/>
      <c r="F302" s="14"/>
      <c r="G302" s="14"/>
      <c r="H302" s="14"/>
    </row>
    <row r="303" customFormat="false" ht="15.75" hidden="false" customHeight="false" outlineLevel="0" collapsed="false">
      <c r="C303" s="14"/>
      <c r="D303" s="14"/>
      <c r="E303" s="14"/>
      <c r="F303" s="14"/>
      <c r="G303" s="14"/>
      <c r="H303" s="14"/>
    </row>
    <row r="304" customFormat="false" ht="15.75" hidden="false" customHeight="false" outlineLevel="0" collapsed="false">
      <c r="C304" s="14"/>
      <c r="D304" s="14"/>
      <c r="E304" s="14"/>
      <c r="F304" s="14"/>
      <c r="G304" s="14"/>
      <c r="H304" s="14"/>
    </row>
    <row r="305" customFormat="false" ht="15.75" hidden="false" customHeight="false" outlineLevel="0" collapsed="false">
      <c r="C305" s="14"/>
      <c r="D305" s="14"/>
      <c r="E305" s="14"/>
      <c r="F305" s="14"/>
      <c r="G305" s="14"/>
      <c r="H305" s="14"/>
    </row>
    <row r="306" customFormat="false" ht="15.75" hidden="false" customHeight="false" outlineLevel="0" collapsed="false">
      <c r="C306" s="14"/>
      <c r="D306" s="14"/>
      <c r="E306" s="14"/>
      <c r="F306" s="14"/>
      <c r="G306" s="14"/>
      <c r="H306" s="14"/>
    </row>
    <row r="307" customFormat="false" ht="15.75" hidden="false" customHeight="false" outlineLevel="0" collapsed="false">
      <c r="C307" s="14"/>
      <c r="D307" s="14"/>
      <c r="E307" s="14"/>
      <c r="F307" s="14"/>
      <c r="G307" s="14"/>
      <c r="H307" s="14"/>
    </row>
    <row r="308" customFormat="false" ht="15.75" hidden="false" customHeight="false" outlineLevel="0" collapsed="false">
      <c r="C308" s="14"/>
      <c r="D308" s="14"/>
      <c r="E308" s="14"/>
      <c r="F308" s="14"/>
      <c r="G308" s="14"/>
      <c r="H308" s="14"/>
    </row>
    <row r="309" customFormat="false" ht="15.75" hidden="false" customHeight="false" outlineLevel="0" collapsed="false">
      <c r="C309" s="14"/>
      <c r="D309" s="14"/>
      <c r="E309" s="14"/>
      <c r="F309" s="14"/>
      <c r="G309" s="14"/>
      <c r="H309" s="14"/>
    </row>
    <row r="310" customFormat="false" ht="15.75" hidden="false" customHeight="false" outlineLevel="0" collapsed="false">
      <c r="C310" s="14"/>
      <c r="D310" s="14"/>
      <c r="E310" s="14"/>
      <c r="F310" s="14"/>
      <c r="G310" s="14"/>
      <c r="H310" s="14"/>
    </row>
    <row r="311" customFormat="false" ht="15.75" hidden="false" customHeight="false" outlineLevel="0" collapsed="false">
      <c r="C311" s="14"/>
      <c r="D311" s="14"/>
      <c r="E311" s="14"/>
      <c r="F311" s="14"/>
      <c r="G311" s="14"/>
      <c r="H311" s="14"/>
    </row>
    <row r="312" customFormat="false" ht="15.75" hidden="false" customHeight="false" outlineLevel="0" collapsed="false">
      <c r="C312" s="14"/>
      <c r="D312" s="14"/>
      <c r="E312" s="14"/>
      <c r="F312" s="14"/>
      <c r="G312" s="14"/>
      <c r="H312" s="14"/>
    </row>
    <row r="313" customFormat="false" ht="15.75" hidden="false" customHeight="false" outlineLevel="0" collapsed="false">
      <c r="C313" s="14"/>
      <c r="D313" s="14"/>
      <c r="E313" s="14"/>
      <c r="F313" s="14"/>
      <c r="G313" s="14"/>
      <c r="H313" s="14"/>
    </row>
    <row r="314" customFormat="false" ht="15.75" hidden="false" customHeight="false" outlineLevel="0" collapsed="false">
      <c r="C314" s="14"/>
      <c r="D314" s="14"/>
      <c r="E314" s="14"/>
      <c r="F314" s="14"/>
      <c r="G314" s="14"/>
      <c r="H314" s="14"/>
    </row>
    <row r="315" customFormat="false" ht="15.75" hidden="false" customHeight="false" outlineLevel="0" collapsed="false">
      <c r="C315" s="14"/>
      <c r="D315" s="14"/>
      <c r="E315" s="14"/>
      <c r="F315" s="14"/>
      <c r="G315" s="14"/>
      <c r="H315" s="14"/>
    </row>
    <row r="316" customFormat="false" ht="15.75" hidden="false" customHeight="false" outlineLevel="0" collapsed="false">
      <c r="C316" s="14"/>
      <c r="D316" s="14"/>
      <c r="E316" s="14"/>
      <c r="F316" s="14"/>
      <c r="G316" s="14"/>
      <c r="H316" s="14"/>
    </row>
    <row r="317" customFormat="false" ht="15.75" hidden="false" customHeight="false" outlineLevel="0" collapsed="false">
      <c r="C317" s="14"/>
      <c r="D317" s="14"/>
      <c r="E317" s="14"/>
      <c r="F317" s="14"/>
      <c r="G317" s="14"/>
      <c r="H317" s="14"/>
    </row>
    <row r="318" customFormat="false" ht="15.75" hidden="false" customHeight="false" outlineLevel="0" collapsed="false">
      <c r="C318" s="14"/>
      <c r="D318" s="14"/>
      <c r="E318" s="14"/>
      <c r="F318" s="14"/>
      <c r="G318" s="14"/>
      <c r="H318" s="14"/>
    </row>
    <row r="319" customFormat="false" ht="15.75" hidden="false" customHeight="false" outlineLevel="0" collapsed="false">
      <c r="C319" s="14"/>
      <c r="D319" s="14"/>
      <c r="E319" s="14"/>
      <c r="F319" s="14"/>
      <c r="G319" s="14"/>
      <c r="H319" s="14"/>
    </row>
    <row r="320" customFormat="false" ht="15.75" hidden="false" customHeight="false" outlineLevel="0" collapsed="false">
      <c r="C320" s="14"/>
      <c r="D320" s="14"/>
      <c r="E320" s="14"/>
      <c r="F320" s="14"/>
      <c r="G320" s="14"/>
      <c r="H320" s="14"/>
    </row>
    <row r="321" customFormat="false" ht="15.75" hidden="false" customHeight="false" outlineLevel="0" collapsed="false">
      <c r="C321" s="14"/>
      <c r="D321" s="14"/>
      <c r="E321" s="14"/>
      <c r="F321" s="14"/>
      <c r="G321" s="14"/>
      <c r="H321" s="14"/>
    </row>
    <row r="322" customFormat="false" ht="15.75" hidden="false" customHeight="false" outlineLevel="0" collapsed="false">
      <c r="C322" s="14"/>
      <c r="D322" s="14"/>
      <c r="E322" s="14"/>
      <c r="F322" s="14"/>
      <c r="G322" s="14"/>
      <c r="H322" s="14"/>
    </row>
    <row r="323" customFormat="false" ht="15.75" hidden="false" customHeight="false" outlineLevel="0" collapsed="false">
      <c r="C323" s="14"/>
      <c r="D323" s="14"/>
      <c r="E323" s="14"/>
      <c r="F323" s="14"/>
      <c r="G323" s="14"/>
      <c r="H323" s="14"/>
    </row>
    <row r="324" customFormat="false" ht="15.75" hidden="false" customHeight="false" outlineLevel="0" collapsed="false">
      <c r="C324" s="14"/>
      <c r="D324" s="14"/>
      <c r="E324" s="14"/>
      <c r="F324" s="14"/>
      <c r="G324" s="14"/>
      <c r="H324" s="14"/>
    </row>
    <row r="325" customFormat="false" ht="15.75" hidden="false" customHeight="false" outlineLevel="0" collapsed="false">
      <c r="C325" s="14"/>
      <c r="D325" s="14"/>
      <c r="E325" s="14"/>
      <c r="F325" s="14"/>
      <c r="G325" s="14"/>
      <c r="H325" s="14"/>
    </row>
    <row r="326" customFormat="false" ht="15.75" hidden="false" customHeight="false" outlineLevel="0" collapsed="false">
      <c r="C326" s="14"/>
      <c r="D326" s="14"/>
      <c r="E326" s="14"/>
      <c r="F326" s="14"/>
      <c r="G326" s="14"/>
      <c r="H326" s="14"/>
    </row>
    <row r="327" customFormat="false" ht="15.75" hidden="false" customHeight="false" outlineLevel="0" collapsed="false">
      <c r="C327" s="14"/>
      <c r="D327" s="14"/>
      <c r="E327" s="14"/>
      <c r="F327" s="14"/>
      <c r="G327" s="14"/>
      <c r="H327" s="14"/>
    </row>
    <row r="328" customFormat="false" ht="15.75" hidden="false" customHeight="false" outlineLevel="0" collapsed="false">
      <c r="C328" s="14"/>
      <c r="D328" s="14"/>
      <c r="E328" s="14"/>
      <c r="F328" s="14"/>
      <c r="G328" s="14"/>
      <c r="H328" s="14"/>
    </row>
    <row r="329" customFormat="false" ht="15.75" hidden="false" customHeight="false" outlineLevel="0" collapsed="false">
      <c r="C329" s="14"/>
      <c r="D329" s="14"/>
      <c r="E329" s="14"/>
      <c r="F329" s="14"/>
      <c r="G329" s="14"/>
      <c r="H329" s="14"/>
    </row>
    <row r="330" customFormat="false" ht="15.75" hidden="false" customHeight="false" outlineLevel="0" collapsed="false">
      <c r="C330" s="14"/>
      <c r="D330" s="14"/>
      <c r="E330" s="14"/>
      <c r="F330" s="14"/>
      <c r="G330" s="14"/>
      <c r="H330" s="14"/>
    </row>
    <row r="331" customFormat="false" ht="15.75" hidden="false" customHeight="false" outlineLevel="0" collapsed="false">
      <c r="C331" s="14"/>
      <c r="D331" s="14"/>
      <c r="E331" s="14"/>
      <c r="F331" s="14"/>
      <c r="G331" s="14"/>
      <c r="H331" s="14"/>
    </row>
    <row r="332" customFormat="false" ht="15.75" hidden="false" customHeight="false" outlineLevel="0" collapsed="false">
      <c r="C332" s="14"/>
      <c r="D332" s="14"/>
      <c r="E332" s="14"/>
      <c r="F332" s="14"/>
      <c r="G332" s="14"/>
      <c r="H332" s="14"/>
    </row>
    <row r="333" customFormat="false" ht="15.75" hidden="false" customHeight="false" outlineLevel="0" collapsed="false">
      <c r="C333" s="14"/>
      <c r="D333" s="14"/>
      <c r="E333" s="14"/>
      <c r="F333" s="14"/>
      <c r="G333" s="14"/>
      <c r="H333" s="14"/>
    </row>
    <row r="334" customFormat="false" ht="15.75" hidden="false" customHeight="false" outlineLevel="0" collapsed="false">
      <c r="C334" s="14"/>
      <c r="D334" s="14"/>
      <c r="E334" s="14"/>
      <c r="F334" s="14"/>
      <c r="G334" s="14"/>
      <c r="H334" s="14"/>
    </row>
    <row r="335" customFormat="false" ht="15.75" hidden="false" customHeight="false" outlineLevel="0" collapsed="false">
      <c r="C335" s="14"/>
      <c r="D335" s="14"/>
      <c r="E335" s="14"/>
      <c r="F335" s="14"/>
      <c r="G335" s="14"/>
      <c r="H335" s="14"/>
    </row>
    <row r="336" customFormat="false" ht="15.75" hidden="false" customHeight="false" outlineLevel="0" collapsed="false">
      <c r="C336" s="14"/>
      <c r="D336" s="14"/>
      <c r="E336" s="14"/>
      <c r="F336" s="14"/>
      <c r="G336" s="14"/>
      <c r="H336" s="14"/>
    </row>
    <row r="337" customFormat="false" ht="15.75" hidden="false" customHeight="false" outlineLevel="0" collapsed="false">
      <c r="C337" s="14"/>
      <c r="D337" s="14"/>
      <c r="E337" s="14"/>
      <c r="F337" s="14"/>
      <c r="G337" s="14"/>
      <c r="H337" s="14"/>
    </row>
    <row r="338" customFormat="false" ht="15.75" hidden="false" customHeight="false" outlineLevel="0" collapsed="false">
      <c r="C338" s="14"/>
      <c r="D338" s="14"/>
      <c r="E338" s="14"/>
      <c r="F338" s="14"/>
      <c r="G338" s="14"/>
      <c r="H338" s="14"/>
    </row>
    <row r="339" customFormat="false" ht="15.75" hidden="false" customHeight="false" outlineLevel="0" collapsed="false">
      <c r="C339" s="14"/>
      <c r="D339" s="14"/>
      <c r="E339" s="14"/>
      <c r="F339" s="14"/>
      <c r="G339" s="14"/>
      <c r="H339" s="14"/>
    </row>
    <row r="340" customFormat="false" ht="15.75" hidden="false" customHeight="false" outlineLevel="0" collapsed="false">
      <c r="C340" s="14"/>
      <c r="D340" s="14"/>
      <c r="E340" s="14"/>
      <c r="F340" s="14"/>
      <c r="G340" s="14"/>
      <c r="H340" s="14"/>
    </row>
    <row r="341" customFormat="false" ht="15.75" hidden="false" customHeight="false" outlineLevel="0" collapsed="false">
      <c r="C341" s="14"/>
      <c r="D341" s="14"/>
      <c r="E341" s="14"/>
      <c r="F341" s="14"/>
      <c r="G341" s="14"/>
      <c r="H341" s="14"/>
    </row>
    <row r="342" customFormat="false" ht="15.75" hidden="false" customHeight="false" outlineLevel="0" collapsed="false">
      <c r="C342" s="14"/>
      <c r="D342" s="14"/>
      <c r="E342" s="14"/>
      <c r="F342" s="14"/>
      <c r="G342" s="14"/>
      <c r="H342" s="14"/>
    </row>
    <row r="343" customFormat="false" ht="15.75" hidden="false" customHeight="false" outlineLevel="0" collapsed="false">
      <c r="C343" s="14"/>
      <c r="D343" s="14"/>
      <c r="E343" s="14"/>
      <c r="F343" s="14"/>
      <c r="G343" s="14"/>
      <c r="H343" s="14"/>
    </row>
    <row r="344" customFormat="false" ht="15.75" hidden="false" customHeight="false" outlineLevel="0" collapsed="false">
      <c r="C344" s="14"/>
      <c r="D344" s="14"/>
      <c r="E344" s="14"/>
      <c r="F344" s="14"/>
      <c r="G344" s="14"/>
      <c r="H344" s="14"/>
    </row>
    <row r="345" customFormat="false" ht="15.75" hidden="false" customHeight="false" outlineLevel="0" collapsed="false">
      <c r="C345" s="14"/>
      <c r="D345" s="14"/>
      <c r="E345" s="14"/>
      <c r="F345" s="14"/>
      <c r="G345" s="14"/>
      <c r="H345" s="14"/>
    </row>
    <row r="346" customFormat="false" ht="15.75" hidden="false" customHeight="false" outlineLevel="0" collapsed="false">
      <c r="C346" s="14"/>
      <c r="D346" s="14"/>
      <c r="E346" s="14"/>
      <c r="F346" s="14"/>
      <c r="G346" s="14"/>
      <c r="H346" s="14"/>
    </row>
    <row r="347" customFormat="false" ht="15.75" hidden="false" customHeight="false" outlineLevel="0" collapsed="false">
      <c r="C347" s="14"/>
      <c r="D347" s="14"/>
      <c r="E347" s="14"/>
      <c r="F347" s="14"/>
      <c r="G347" s="14"/>
      <c r="H347" s="14"/>
    </row>
    <row r="348" customFormat="false" ht="15.75" hidden="false" customHeight="false" outlineLevel="0" collapsed="false">
      <c r="C348" s="14"/>
      <c r="D348" s="14"/>
      <c r="E348" s="14"/>
      <c r="F348" s="14"/>
      <c r="G348" s="14"/>
      <c r="H348" s="14"/>
    </row>
    <row r="349" customFormat="false" ht="15.75" hidden="false" customHeight="false" outlineLevel="0" collapsed="false">
      <c r="C349" s="14"/>
      <c r="D349" s="14"/>
      <c r="E349" s="14"/>
      <c r="F349" s="14"/>
      <c r="G349" s="14"/>
      <c r="H349" s="14"/>
    </row>
    <row r="350" customFormat="false" ht="15.75" hidden="false" customHeight="false" outlineLevel="0" collapsed="false">
      <c r="C350" s="14"/>
      <c r="D350" s="14"/>
      <c r="E350" s="14"/>
      <c r="F350" s="14"/>
      <c r="G350" s="14"/>
      <c r="H350" s="14"/>
    </row>
    <row r="351" customFormat="false" ht="15.75" hidden="false" customHeight="false" outlineLevel="0" collapsed="false">
      <c r="C351" s="14"/>
      <c r="D351" s="14"/>
      <c r="E351" s="14"/>
      <c r="F351" s="14"/>
      <c r="G351" s="14"/>
      <c r="H351" s="14"/>
    </row>
    <row r="352" customFormat="false" ht="15.75" hidden="false" customHeight="false" outlineLevel="0" collapsed="false">
      <c r="C352" s="14"/>
      <c r="D352" s="14"/>
      <c r="E352" s="14"/>
      <c r="F352" s="14"/>
      <c r="G352" s="14"/>
      <c r="H352" s="14"/>
    </row>
    <row r="353" customFormat="false" ht="15.75" hidden="false" customHeight="false" outlineLevel="0" collapsed="false">
      <c r="C353" s="14"/>
      <c r="D353" s="14"/>
      <c r="E353" s="14"/>
      <c r="F353" s="14"/>
      <c r="G353" s="14"/>
      <c r="H353" s="14"/>
    </row>
    <row r="354" customFormat="false" ht="15.75" hidden="false" customHeight="false" outlineLevel="0" collapsed="false">
      <c r="C354" s="14"/>
      <c r="D354" s="14"/>
      <c r="E354" s="14"/>
      <c r="F354" s="14"/>
      <c r="G354" s="14"/>
      <c r="H354" s="14"/>
    </row>
    <row r="355" customFormat="false" ht="15.75" hidden="false" customHeight="false" outlineLevel="0" collapsed="false">
      <c r="C355" s="14"/>
      <c r="D355" s="14"/>
      <c r="E355" s="14"/>
      <c r="F355" s="14"/>
      <c r="G355" s="14"/>
      <c r="H355" s="14"/>
    </row>
    <row r="356" customFormat="false" ht="15.75" hidden="false" customHeight="false" outlineLevel="0" collapsed="false">
      <c r="C356" s="14"/>
      <c r="D356" s="14"/>
      <c r="E356" s="14"/>
      <c r="F356" s="14"/>
      <c r="G356" s="14"/>
      <c r="H356" s="14"/>
    </row>
    <row r="357" customFormat="false" ht="15.75" hidden="false" customHeight="false" outlineLevel="0" collapsed="false">
      <c r="C357" s="14"/>
      <c r="D357" s="14"/>
      <c r="E357" s="14"/>
      <c r="F357" s="14"/>
      <c r="G357" s="14"/>
      <c r="H357" s="14"/>
    </row>
    <row r="358" customFormat="false" ht="15.75" hidden="false" customHeight="false" outlineLevel="0" collapsed="false">
      <c r="C358" s="14"/>
      <c r="D358" s="14"/>
      <c r="E358" s="14"/>
      <c r="F358" s="14"/>
      <c r="G358" s="14"/>
      <c r="H358" s="14"/>
    </row>
    <row r="359" customFormat="false" ht="15.75" hidden="false" customHeight="false" outlineLevel="0" collapsed="false">
      <c r="C359" s="14"/>
      <c r="D359" s="14"/>
      <c r="E359" s="14"/>
      <c r="F359" s="14"/>
      <c r="G359" s="14"/>
      <c r="H359" s="14"/>
    </row>
    <row r="360" customFormat="false" ht="15.75" hidden="false" customHeight="false" outlineLevel="0" collapsed="false">
      <c r="C360" s="14"/>
      <c r="D360" s="14"/>
      <c r="E360" s="14"/>
      <c r="F360" s="14"/>
      <c r="G360" s="14"/>
      <c r="H360" s="14"/>
    </row>
    <row r="361" customFormat="false" ht="15.75" hidden="false" customHeight="false" outlineLevel="0" collapsed="false">
      <c r="C361" s="14"/>
      <c r="D361" s="14"/>
      <c r="E361" s="14"/>
      <c r="F361" s="14"/>
      <c r="G361" s="14"/>
      <c r="H361" s="14"/>
    </row>
    <row r="362" customFormat="false" ht="15.75" hidden="false" customHeight="false" outlineLevel="0" collapsed="false">
      <c r="C362" s="14"/>
      <c r="D362" s="14"/>
      <c r="E362" s="14"/>
      <c r="F362" s="14"/>
      <c r="G362" s="14"/>
      <c r="H362" s="14"/>
    </row>
    <row r="363" customFormat="false" ht="15.75" hidden="false" customHeight="false" outlineLevel="0" collapsed="false">
      <c r="C363" s="14"/>
      <c r="D363" s="14"/>
      <c r="E363" s="14"/>
      <c r="F363" s="14"/>
      <c r="G363" s="14"/>
      <c r="H363" s="14"/>
    </row>
    <row r="364" customFormat="false" ht="15.75" hidden="false" customHeight="false" outlineLevel="0" collapsed="false">
      <c r="C364" s="14"/>
      <c r="D364" s="14"/>
      <c r="E364" s="14"/>
      <c r="F364" s="14"/>
      <c r="G364" s="14"/>
      <c r="H364" s="14"/>
    </row>
    <row r="365" customFormat="false" ht="15.75" hidden="false" customHeight="false" outlineLevel="0" collapsed="false">
      <c r="C365" s="14"/>
      <c r="D365" s="14"/>
      <c r="E365" s="14"/>
      <c r="F365" s="14"/>
      <c r="G365" s="14"/>
      <c r="H365" s="14"/>
    </row>
    <row r="366" customFormat="false" ht="15.75" hidden="false" customHeight="false" outlineLevel="0" collapsed="false">
      <c r="C366" s="14"/>
      <c r="D366" s="14"/>
      <c r="E366" s="14"/>
      <c r="F366" s="14"/>
      <c r="G366" s="14"/>
      <c r="H366" s="14"/>
    </row>
    <row r="367" customFormat="false" ht="15.75" hidden="false" customHeight="false" outlineLevel="0" collapsed="false">
      <c r="C367" s="14"/>
      <c r="D367" s="14"/>
      <c r="E367" s="14"/>
      <c r="F367" s="14"/>
      <c r="G367" s="14"/>
      <c r="H367" s="14"/>
    </row>
    <row r="368" customFormat="false" ht="15.75" hidden="false" customHeight="false" outlineLevel="0" collapsed="false">
      <c r="C368" s="14"/>
      <c r="D368" s="14"/>
      <c r="E368" s="14"/>
      <c r="F368" s="14"/>
      <c r="G368" s="14"/>
      <c r="H368" s="14"/>
    </row>
    <row r="369" customFormat="false" ht="15.75" hidden="false" customHeight="false" outlineLevel="0" collapsed="false">
      <c r="C369" s="14"/>
      <c r="D369" s="14"/>
      <c r="E369" s="14"/>
      <c r="F369" s="14"/>
      <c r="G369" s="14"/>
      <c r="H369" s="14"/>
    </row>
    <row r="370" customFormat="false" ht="15.75" hidden="false" customHeight="false" outlineLevel="0" collapsed="false">
      <c r="C370" s="14"/>
      <c r="D370" s="14"/>
      <c r="E370" s="14"/>
      <c r="F370" s="14"/>
      <c r="G370" s="14"/>
      <c r="H370" s="14"/>
    </row>
    <row r="371" customFormat="false" ht="15.75" hidden="false" customHeight="false" outlineLevel="0" collapsed="false">
      <c r="C371" s="14"/>
      <c r="D371" s="14"/>
      <c r="E371" s="14"/>
      <c r="F371" s="14"/>
      <c r="G371" s="14"/>
      <c r="H371" s="14"/>
    </row>
    <row r="372" customFormat="false" ht="15.75" hidden="false" customHeight="false" outlineLevel="0" collapsed="false">
      <c r="C372" s="14"/>
      <c r="D372" s="14"/>
      <c r="E372" s="14"/>
      <c r="F372" s="14"/>
      <c r="G372" s="14"/>
      <c r="H372" s="14"/>
    </row>
    <row r="373" customFormat="false" ht="15.75" hidden="false" customHeight="false" outlineLevel="0" collapsed="false">
      <c r="C373" s="14"/>
      <c r="D373" s="14"/>
      <c r="E373" s="14"/>
      <c r="F373" s="14"/>
      <c r="G373" s="14"/>
      <c r="H373" s="14"/>
    </row>
    <row r="374" customFormat="false" ht="15.75" hidden="false" customHeight="false" outlineLevel="0" collapsed="false">
      <c r="C374" s="14"/>
      <c r="D374" s="14"/>
      <c r="E374" s="14"/>
      <c r="F374" s="14"/>
      <c r="G374" s="14"/>
      <c r="H374" s="14"/>
    </row>
    <row r="375" customFormat="false" ht="15.75" hidden="false" customHeight="false" outlineLevel="0" collapsed="false">
      <c r="C375" s="14"/>
      <c r="D375" s="14"/>
      <c r="E375" s="14"/>
      <c r="F375" s="14"/>
      <c r="G375" s="14"/>
      <c r="H375" s="14"/>
    </row>
    <row r="376" customFormat="false" ht="15.75" hidden="false" customHeight="false" outlineLevel="0" collapsed="false">
      <c r="C376" s="14"/>
      <c r="D376" s="14"/>
      <c r="E376" s="14"/>
      <c r="F376" s="14"/>
      <c r="G376" s="14"/>
      <c r="H376" s="14"/>
    </row>
    <row r="377" customFormat="false" ht="15.75" hidden="false" customHeight="false" outlineLevel="0" collapsed="false">
      <c r="C377" s="14"/>
      <c r="D377" s="14"/>
      <c r="E377" s="14"/>
      <c r="F377" s="14"/>
      <c r="G377" s="14"/>
      <c r="H377" s="14"/>
    </row>
    <row r="378" customFormat="false" ht="15.75" hidden="false" customHeight="false" outlineLevel="0" collapsed="false">
      <c r="C378" s="14"/>
      <c r="D378" s="14"/>
      <c r="E378" s="14"/>
      <c r="F378" s="14"/>
      <c r="G378" s="14"/>
      <c r="H378" s="14"/>
    </row>
    <row r="379" customFormat="false" ht="15.75" hidden="false" customHeight="false" outlineLevel="0" collapsed="false">
      <c r="C379" s="14"/>
      <c r="D379" s="14"/>
      <c r="E379" s="14"/>
      <c r="F379" s="14"/>
      <c r="G379" s="14"/>
      <c r="H379" s="14"/>
    </row>
    <row r="380" customFormat="false" ht="15.75" hidden="false" customHeight="false" outlineLevel="0" collapsed="false">
      <c r="C380" s="14"/>
      <c r="D380" s="14"/>
      <c r="E380" s="14"/>
      <c r="F380" s="14"/>
      <c r="G380" s="14"/>
      <c r="H380" s="14"/>
    </row>
    <row r="381" customFormat="false" ht="15.75" hidden="false" customHeight="false" outlineLevel="0" collapsed="false">
      <c r="C381" s="14"/>
      <c r="D381" s="14"/>
      <c r="E381" s="14"/>
      <c r="F381" s="14"/>
      <c r="G381" s="14"/>
      <c r="H381" s="14"/>
    </row>
    <row r="382" customFormat="false" ht="15.75" hidden="false" customHeight="false" outlineLevel="0" collapsed="false">
      <c r="C382" s="14"/>
      <c r="D382" s="14"/>
      <c r="E382" s="14"/>
      <c r="F382" s="14"/>
      <c r="G382" s="14"/>
      <c r="H382" s="14"/>
    </row>
    <row r="383" customFormat="false" ht="15.75" hidden="false" customHeight="false" outlineLevel="0" collapsed="false">
      <c r="C383" s="14"/>
      <c r="D383" s="14"/>
      <c r="E383" s="14"/>
      <c r="F383" s="14"/>
      <c r="G383" s="14"/>
      <c r="H383" s="14"/>
    </row>
    <row r="384" customFormat="false" ht="15.75" hidden="false" customHeight="false" outlineLevel="0" collapsed="false">
      <c r="C384" s="14"/>
      <c r="D384" s="14"/>
      <c r="E384" s="14"/>
      <c r="F384" s="14"/>
      <c r="G384" s="14"/>
      <c r="H384" s="14"/>
    </row>
    <row r="385" customFormat="false" ht="15.75" hidden="false" customHeight="false" outlineLevel="0" collapsed="false">
      <c r="C385" s="14"/>
      <c r="D385" s="14"/>
      <c r="E385" s="14"/>
      <c r="F385" s="14"/>
      <c r="G385" s="14"/>
      <c r="H385" s="14"/>
    </row>
    <row r="386" customFormat="false" ht="15.75" hidden="false" customHeight="false" outlineLevel="0" collapsed="false">
      <c r="C386" s="14"/>
      <c r="D386" s="14"/>
      <c r="E386" s="14"/>
      <c r="F386" s="14"/>
      <c r="G386" s="14"/>
      <c r="H386" s="14"/>
    </row>
    <row r="387" customFormat="false" ht="15.75" hidden="false" customHeight="false" outlineLevel="0" collapsed="false">
      <c r="C387" s="14"/>
      <c r="D387" s="14"/>
      <c r="E387" s="14"/>
      <c r="F387" s="14"/>
      <c r="G387" s="14"/>
      <c r="H387" s="14"/>
    </row>
    <row r="388" customFormat="false" ht="15.75" hidden="false" customHeight="false" outlineLevel="0" collapsed="false">
      <c r="C388" s="14"/>
      <c r="D388" s="14"/>
      <c r="E388" s="14"/>
      <c r="F388" s="14"/>
      <c r="G388" s="14"/>
      <c r="H388" s="14"/>
    </row>
    <row r="389" customFormat="false" ht="15.75" hidden="false" customHeight="false" outlineLevel="0" collapsed="false">
      <c r="C389" s="14"/>
      <c r="D389" s="14"/>
      <c r="E389" s="14"/>
      <c r="F389" s="14"/>
      <c r="G389" s="14"/>
      <c r="H389" s="14"/>
    </row>
    <row r="390" customFormat="false" ht="15.75" hidden="false" customHeight="false" outlineLevel="0" collapsed="false">
      <c r="C390" s="14"/>
      <c r="D390" s="14"/>
      <c r="E390" s="14"/>
      <c r="F390" s="14"/>
      <c r="G390" s="14"/>
      <c r="H390" s="14"/>
    </row>
    <row r="391" customFormat="false" ht="15.75" hidden="false" customHeight="false" outlineLevel="0" collapsed="false">
      <c r="C391" s="14"/>
      <c r="D391" s="14"/>
      <c r="E391" s="14"/>
      <c r="F391" s="14"/>
      <c r="G391" s="14"/>
      <c r="H391" s="14"/>
    </row>
    <row r="392" customFormat="false" ht="15.75" hidden="false" customHeight="false" outlineLevel="0" collapsed="false">
      <c r="C392" s="14"/>
      <c r="D392" s="14"/>
      <c r="E392" s="14"/>
      <c r="F392" s="14"/>
      <c r="G392" s="14"/>
      <c r="H392" s="14"/>
    </row>
    <row r="393" customFormat="false" ht="15.75" hidden="false" customHeight="false" outlineLevel="0" collapsed="false">
      <c r="C393" s="14"/>
      <c r="D393" s="14"/>
      <c r="E393" s="14"/>
      <c r="F393" s="14"/>
      <c r="G393" s="14"/>
      <c r="H393" s="14"/>
    </row>
    <row r="394" customFormat="false" ht="15.75" hidden="false" customHeight="false" outlineLevel="0" collapsed="false">
      <c r="C394" s="14"/>
      <c r="D394" s="14"/>
      <c r="E394" s="14"/>
      <c r="F394" s="14"/>
      <c r="G394" s="14"/>
      <c r="H394" s="14"/>
    </row>
    <row r="395" customFormat="false" ht="15.75" hidden="false" customHeight="false" outlineLevel="0" collapsed="false">
      <c r="C395" s="14"/>
      <c r="D395" s="14"/>
      <c r="E395" s="14"/>
      <c r="F395" s="14"/>
      <c r="G395" s="14"/>
      <c r="H395" s="14"/>
    </row>
    <row r="396" customFormat="false" ht="15.75" hidden="false" customHeight="false" outlineLevel="0" collapsed="false">
      <c r="C396" s="14"/>
      <c r="D396" s="14"/>
      <c r="E396" s="14"/>
      <c r="F396" s="14"/>
      <c r="G396" s="14"/>
      <c r="H396" s="14"/>
    </row>
    <row r="397" customFormat="false" ht="15.75" hidden="false" customHeight="false" outlineLevel="0" collapsed="false">
      <c r="C397" s="14"/>
      <c r="D397" s="14"/>
      <c r="E397" s="14"/>
      <c r="F397" s="14"/>
      <c r="G397" s="14"/>
      <c r="H397" s="14"/>
    </row>
    <row r="398" customFormat="false" ht="15.75" hidden="false" customHeight="false" outlineLevel="0" collapsed="false">
      <c r="C398" s="14"/>
      <c r="D398" s="14"/>
      <c r="E398" s="14"/>
      <c r="F398" s="14"/>
      <c r="G398" s="14"/>
      <c r="H398" s="14"/>
    </row>
    <row r="399" customFormat="false" ht="15.75" hidden="false" customHeight="false" outlineLevel="0" collapsed="false">
      <c r="C399" s="14"/>
      <c r="D399" s="14"/>
      <c r="E399" s="14"/>
      <c r="F399" s="14"/>
      <c r="G399" s="14"/>
      <c r="H399" s="14"/>
    </row>
    <row r="400" customFormat="false" ht="15.75" hidden="false" customHeight="false" outlineLevel="0" collapsed="false">
      <c r="C400" s="14"/>
      <c r="D400" s="14"/>
      <c r="E400" s="14"/>
      <c r="F400" s="14"/>
      <c r="G400" s="14"/>
      <c r="H400" s="14"/>
    </row>
    <row r="401" customFormat="false" ht="15.75" hidden="false" customHeight="false" outlineLevel="0" collapsed="false">
      <c r="C401" s="14"/>
      <c r="D401" s="14"/>
      <c r="E401" s="14"/>
      <c r="F401" s="14"/>
      <c r="G401" s="14"/>
      <c r="H401" s="14"/>
    </row>
    <row r="402" customFormat="false" ht="15.75" hidden="false" customHeight="false" outlineLevel="0" collapsed="false">
      <c r="C402" s="14"/>
      <c r="D402" s="14"/>
      <c r="E402" s="14"/>
      <c r="F402" s="14"/>
      <c r="G402" s="14"/>
      <c r="H402" s="14"/>
    </row>
    <row r="403" customFormat="false" ht="15.75" hidden="false" customHeight="false" outlineLevel="0" collapsed="false">
      <c r="C403" s="14"/>
      <c r="D403" s="14"/>
      <c r="E403" s="14"/>
      <c r="F403" s="14"/>
      <c r="G403" s="14"/>
      <c r="H403" s="14"/>
    </row>
    <row r="404" customFormat="false" ht="15.75" hidden="false" customHeight="false" outlineLevel="0" collapsed="false">
      <c r="C404" s="14"/>
      <c r="D404" s="14"/>
      <c r="E404" s="14"/>
      <c r="F404" s="14"/>
      <c r="G404" s="14"/>
      <c r="H404" s="14"/>
    </row>
    <row r="405" customFormat="false" ht="15.75" hidden="false" customHeight="false" outlineLevel="0" collapsed="false">
      <c r="C405" s="14"/>
      <c r="D405" s="14"/>
      <c r="E405" s="14"/>
      <c r="F405" s="14"/>
      <c r="G405" s="14"/>
      <c r="H405" s="14"/>
    </row>
    <row r="406" customFormat="false" ht="15.75" hidden="false" customHeight="false" outlineLevel="0" collapsed="false">
      <c r="C406" s="14"/>
      <c r="D406" s="14"/>
      <c r="E406" s="14"/>
      <c r="F406" s="14"/>
      <c r="G406" s="14"/>
      <c r="H406" s="14"/>
    </row>
    <row r="407" customFormat="false" ht="15.75" hidden="false" customHeight="false" outlineLevel="0" collapsed="false">
      <c r="C407" s="14"/>
      <c r="D407" s="14"/>
      <c r="E407" s="14"/>
      <c r="F407" s="14"/>
      <c r="G407" s="14"/>
      <c r="H407" s="14"/>
    </row>
    <row r="408" customFormat="false" ht="15.75" hidden="false" customHeight="false" outlineLevel="0" collapsed="false">
      <c r="C408" s="14"/>
      <c r="D408" s="14"/>
      <c r="E408" s="14"/>
      <c r="F408" s="14"/>
      <c r="G408" s="14"/>
      <c r="H408" s="14"/>
    </row>
    <row r="409" customFormat="false" ht="15.75" hidden="false" customHeight="false" outlineLevel="0" collapsed="false">
      <c r="C409" s="14"/>
      <c r="D409" s="14"/>
      <c r="E409" s="14"/>
      <c r="F409" s="14"/>
      <c r="G409" s="14"/>
      <c r="H409" s="14"/>
    </row>
    <row r="410" customFormat="false" ht="15.75" hidden="false" customHeight="false" outlineLevel="0" collapsed="false">
      <c r="C410" s="14"/>
      <c r="D410" s="14"/>
      <c r="E410" s="14"/>
      <c r="F410" s="14"/>
      <c r="G410" s="14"/>
      <c r="H410" s="14"/>
    </row>
    <row r="411" customFormat="false" ht="15.75" hidden="false" customHeight="false" outlineLevel="0" collapsed="false">
      <c r="C411" s="14"/>
      <c r="D411" s="14"/>
      <c r="E411" s="14"/>
      <c r="F411" s="14"/>
      <c r="G411" s="14"/>
      <c r="H411" s="14"/>
    </row>
    <row r="412" customFormat="false" ht="15.75" hidden="false" customHeight="false" outlineLevel="0" collapsed="false">
      <c r="C412" s="14"/>
      <c r="D412" s="14"/>
      <c r="E412" s="14"/>
      <c r="F412" s="14"/>
      <c r="G412" s="14"/>
      <c r="H412" s="14"/>
    </row>
    <row r="413" customFormat="false" ht="15.75" hidden="false" customHeight="false" outlineLevel="0" collapsed="false">
      <c r="C413" s="14"/>
      <c r="D413" s="14"/>
      <c r="E413" s="14"/>
      <c r="F413" s="14"/>
      <c r="G413" s="14"/>
      <c r="H413" s="14"/>
    </row>
    <row r="414" customFormat="false" ht="15.75" hidden="false" customHeight="false" outlineLevel="0" collapsed="false">
      <c r="C414" s="14"/>
      <c r="D414" s="14"/>
      <c r="E414" s="14"/>
      <c r="F414" s="14"/>
      <c r="G414" s="14"/>
      <c r="H414" s="14"/>
    </row>
    <row r="415" customFormat="false" ht="15.75" hidden="false" customHeight="false" outlineLevel="0" collapsed="false">
      <c r="C415" s="14"/>
      <c r="D415" s="14"/>
      <c r="E415" s="14"/>
      <c r="F415" s="14"/>
      <c r="G415" s="14"/>
      <c r="H415" s="14"/>
    </row>
    <row r="416" customFormat="false" ht="15.75" hidden="false" customHeight="false" outlineLevel="0" collapsed="false">
      <c r="C416" s="14"/>
      <c r="D416" s="14"/>
      <c r="E416" s="14"/>
      <c r="F416" s="14"/>
      <c r="G416" s="14"/>
      <c r="H416" s="14"/>
    </row>
    <row r="417" customFormat="false" ht="15.75" hidden="false" customHeight="false" outlineLevel="0" collapsed="false">
      <c r="C417" s="14"/>
      <c r="D417" s="14"/>
      <c r="E417" s="14"/>
      <c r="F417" s="14"/>
      <c r="G417" s="14"/>
      <c r="H417" s="14"/>
    </row>
    <row r="418" customFormat="false" ht="15.75" hidden="false" customHeight="false" outlineLevel="0" collapsed="false">
      <c r="C418" s="14"/>
      <c r="D418" s="14"/>
      <c r="E418" s="14"/>
      <c r="F418" s="14"/>
      <c r="G418" s="14"/>
      <c r="H418" s="14"/>
    </row>
    <row r="419" customFormat="false" ht="15.75" hidden="false" customHeight="false" outlineLevel="0" collapsed="false">
      <c r="C419" s="14"/>
      <c r="D419" s="14"/>
      <c r="E419" s="14"/>
      <c r="F419" s="14"/>
      <c r="G419" s="14"/>
      <c r="H419" s="14"/>
    </row>
    <row r="420" customFormat="false" ht="15.75" hidden="false" customHeight="false" outlineLevel="0" collapsed="false">
      <c r="C420" s="14"/>
      <c r="D420" s="14"/>
      <c r="E420" s="14"/>
      <c r="F420" s="14"/>
      <c r="G420" s="14"/>
      <c r="H420" s="14"/>
    </row>
    <row r="421" customFormat="false" ht="15.75" hidden="false" customHeight="false" outlineLevel="0" collapsed="false">
      <c r="C421" s="14"/>
      <c r="D421" s="14"/>
      <c r="E421" s="14"/>
      <c r="F421" s="14"/>
      <c r="G421" s="14"/>
      <c r="H421" s="14"/>
    </row>
    <row r="422" customFormat="false" ht="15.75" hidden="false" customHeight="false" outlineLevel="0" collapsed="false">
      <c r="C422" s="14"/>
      <c r="D422" s="14"/>
      <c r="E422" s="14"/>
      <c r="F422" s="14"/>
      <c r="G422" s="14"/>
      <c r="H422" s="14"/>
    </row>
    <row r="423" customFormat="false" ht="15.75" hidden="false" customHeight="false" outlineLevel="0" collapsed="false">
      <c r="C423" s="14"/>
      <c r="D423" s="14"/>
      <c r="E423" s="14"/>
      <c r="F423" s="14"/>
      <c r="G423" s="14"/>
      <c r="H423" s="14"/>
    </row>
    <row r="424" customFormat="false" ht="15.75" hidden="false" customHeight="false" outlineLevel="0" collapsed="false">
      <c r="C424" s="14"/>
      <c r="D424" s="14"/>
      <c r="E424" s="14"/>
      <c r="F424" s="14"/>
      <c r="G424" s="14"/>
      <c r="H424" s="14"/>
    </row>
    <row r="425" customFormat="false" ht="15.75" hidden="false" customHeight="false" outlineLevel="0" collapsed="false">
      <c r="C425" s="14"/>
      <c r="D425" s="14"/>
      <c r="E425" s="14"/>
      <c r="F425" s="14"/>
      <c r="G425" s="14"/>
      <c r="H425" s="14"/>
    </row>
    <row r="426" customFormat="false" ht="15.75" hidden="false" customHeight="false" outlineLevel="0" collapsed="false">
      <c r="C426" s="14"/>
      <c r="D426" s="14"/>
      <c r="E426" s="14"/>
      <c r="F426" s="14"/>
      <c r="G426" s="14"/>
      <c r="H426" s="14"/>
    </row>
    <row r="427" customFormat="false" ht="15.75" hidden="false" customHeight="false" outlineLevel="0" collapsed="false">
      <c r="C427" s="14"/>
      <c r="D427" s="14"/>
      <c r="E427" s="14"/>
      <c r="F427" s="14"/>
      <c r="G427" s="14"/>
      <c r="H427" s="14"/>
    </row>
    <row r="428" customFormat="false" ht="15.75" hidden="false" customHeight="false" outlineLevel="0" collapsed="false">
      <c r="C428" s="14"/>
      <c r="D428" s="14"/>
      <c r="E428" s="14"/>
      <c r="F428" s="14"/>
      <c r="G428" s="14"/>
      <c r="H428" s="14"/>
    </row>
    <row r="429" customFormat="false" ht="15.75" hidden="false" customHeight="false" outlineLevel="0" collapsed="false">
      <c r="C429" s="14"/>
      <c r="D429" s="14"/>
      <c r="E429" s="14"/>
      <c r="F429" s="14"/>
      <c r="G429" s="14"/>
      <c r="H429" s="14"/>
    </row>
    <row r="430" customFormat="false" ht="15.75" hidden="false" customHeight="false" outlineLevel="0" collapsed="false">
      <c r="C430" s="14"/>
      <c r="D430" s="14"/>
      <c r="E430" s="14"/>
      <c r="F430" s="14"/>
      <c r="G430" s="14"/>
      <c r="H430" s="14"/>
    </row>
    <row r="431" customFormat="false" ht="15.75" hidden="false" customHeight="false" outlineLevel="0" collapsed="false">
      <c r="C431" s="14"/>
      <c r="D431" s="14"/>
      <c r="E431" s="14"/>
      <c r="F431" s="14"/>
      <c r="G431" s="14"/>
      <c r="H431" s="14"/>
    </row>
    <row r="432" customFormat="false" ht="15.75" hidden="false" customHeight="false" outlineLevel="0" collapsed="false">
      <c r="C432" s="14"/>
      <c r="D432" s="14"/>
      <c r="E432" s="14"/>
      <c r="F432" s="14"/>
      <c r="G432" s="14"/>
      <c r="H432" s="14"/>
    </row>
    <row r="433" customFormat="false" ht="15.75" hidden="false" customHeight="false" outlineLevel="0" collapsed="false">
      <c r="C433" s="14"/>
      <c r="D433" s="14"/>
      <c r="E433" s="14"/>
      <c r="F433" s="14"/>
      <c r="G433" s="14"/>
      <c r="H433" s="14"/>
    </row>
    <row r="434" customFormat="false" ht="15.75" hidden="false" customHeight="false" outlineLevel="0" collapsed="false">
      <c r="C434" s="14"/>
      <c r="D434" s="14"/>
      <c r="E434" s="14"/>
      <c r="F434" s="14"/>
      <c r="G434" s="14"/>
      <c r="H434" s="14"/>
    </row>
    <row r="435" customFormat="false" ht="15.75" hidden="false" customHeight="false" outlineLevel="0" collapsed="false">
      <c r="C435" s="14"/>
      <c r="D435" s="14"/>
      <c r="E435" s="14"/>
      <c r="F435" s="14"/>
      <c r="G435" s="14"/>
      <c r="H435" s="14"/>
    </row>
    <row r="436" customFormat="false" ht="15.75" hidden="false" customHeight="false" outlineLevel="0" collapsed="false">
      <c r="C436" s="14"/>
      <c r="D436" s="14"/>
      <c r="E436" s="14"/>
      <c r="F436" s="14"/>
      <c r="G436" s="14"/>
      <c r="H436" s="14"/>
    </row>
    <row r="437" customFormat="false" ht="15.75" hidden="false" customHeight="false" outlineLevel="0" collapsed="false">
      <c r="C437" s="14"/>
      <c r="D437" s="14"/>
      <c r="E437" s="14"/>
      <c r="F437" s="14"/>
      <c r="G437" s="14"/>
      <c r="H437" s="14"/>
    </row>
    <row r="438" customFormat="false" ht="15.75" hidden="false" customHeight="false" outlineLevel="0" collapsed="false">
      <c r="C438" s="14"/>
      <c r="D438" s="14"/>
      <c r="E438" s="14"/>
      <c r="F438" s="14"/>
      <c r="G438" s="14"/>
      <c r="H438" s="14"/>
    </row>
    <row r="439" customFormat="false" ht="15.75" hidden="false" customHeight="false" outlineLevel="0" collapsed="false">
      <c r="C439" s="14"/>
      <c r="D439" s="14"/>
      <c r="E439" s="14"/>
      <c r="F439" s="14"/>
      <c r="G439" s="14"/>
      <c r="H439" s="14"/>
    </row>
    <row r="440" customFormat="false" ht="15.75" hidden="false" customHeight="false" outlineLevel="0" collapsed="false">
      <c r="C440" s="14"/>
      <c r="D440" s="14"/>
      <c r="E440" s="14"/>
      <c r="F440" s="14"/>
      <c r="G440" s="14"/>
      <c r="H440" s="14"/>
    </row>
    <row r="441" customFormat="false" ht="15.75" hidden="false" customHeight="false" outlineLevel="0" collapsed="false">
      <c r="C441" s="14"/>
      <c r="D441" s="14"/>
      <c r="E441" s="14"/>
      <c r="F441" s="14"/>
      <c r="G441" s="14"/>
      <c r="H441" s="14"/>
    </row>
    <row r="442" customFormat="false" ht="15.75" hidden="false" customHeight="false" outlineLevel="0" collapsed="false">
      <c r="C442" s="14"/>
      <c r="D442" s="14"/>
      <c r="E442" s="14"/>
      <c r="F442" s="14"/>
      <c r="G442" s="14"/>
      <c r="H442" s="14"/>
    </row>
    <row r="443" customFormat="false" ht="15.75" hidden="false" customHeight="false" outlineLevel="0" collapsed="false">
      <c r="C443" s="14"/>
      <c r="D443" s="14"/>
      <c r="E443" s="14"/>
      <c r="F443" s="14"/>
      <c r="G443" s="14"/>
      <c r="H443" s="14"/>
    </row>
    <row r="444" customFormat="false" ht="15.75" hidden="false" customHeight="false" outlineLevel="0" collapsed="false">
      <c r="C444" s="14"/>
      <c r="D444" s="14"/>
      <c r="E444" s="14"/>
      <c r="F444" s="14"/>
      <c r="G444" s="14"/>
      <c r="H444" s="14"/>
    </row>
    <row r="445" customFormat="false" ht="15.75" hidden="false" customHeight="false" outlineLevel="0" collapsed="false">
      <c r="C445" s="14"/>
      <c r="D445" s="14"/>
      <c r="E445" s="14"/>
      <c r="F445" s="14"/>
      <c r="G445" s="14"/>
      <c r="H445" s="14"/>
    </row>
    <row r="446" customFormat="false" ht="15.75" hidden="false" customHeight="false" outlineLevel="0" collapsed="false">
      <c r="C446" s="14"/>
      <c r="D446" s="14"/>
      <c r="E446" s="14"/>
      <c r="F446" s="14"/>
      <c r="G446" s="14"/>
      <c r="H446" s="14"/>
    </row>
    <row r="447" customFormat="false" ht="15.75" hidden="false" customHeight="false" outlineLevel="0" collapsed="false">
      <c r="C447" s="14"/>
      <c r="D447" s="14"/>
      <c r="E447" s="14"/>
      <c r="F447" s="14"/>
      <c r="G447" s="14"/>
      <c r="H447" s="14"/>
    </row>
    <row r="448" customFormat="false" ht="15.75" hidden="false" customHeight="false" outlineLevel="0" collapsed="false">
      <c r="C448" s="14"/>
      <c r="D448" s="14"/>
      <c r="E448" s="14"/>
      <c r="F448" s="14"/>
      <c r="G448" s="14"/>
      <c r="H448" s="14"/>
    </row>
    <row r="449" customFormat="false" ht="15.75" hidden="false" customHeight="false" outlineLevel="0" collapsed="false">
      <c r="C449" s="14"/>
      <c r="D449" s="14"/>
      <c r="E449" s="14"/>
      <c r="F449" s="14"/>
      <c r="G449" s="14"/>
      <c r="H449" s="14"/>
    </row>
    <row r="450" customFormat="false" ht="15.75" hidden="false" customHeight="false" outlineLevel="0" collapsed="false">
      <c r="C450" s="14"/>
      <c r="D450" s="14"/>
      <c r="E450" s="14"/>
      <c r="F450" s="14"/>
      <c r="G450" s="14"/>
      <c r="H450" s="14"/>
    </row>
    <row r="451" customFormat="false" ht="15.75" hidden="false" customHeight="false" outlineLevel="0" collapsed="false">
      <c r="C451" s="14"/>
      <c r="D451" s="14"/>
      <c r="E451" s="14"/>
      <c r="F451" s="14"/>
      <c r="G451" s="14"/>
      <c r="H451" s="14"/>
    </row>
    <row r="452" customFormat="false" ht="15.75" hidden="false" customHeight="false" outlineLevel="0" collapsed="false">
      <c r="C452" s="14"/>
      <c r="D452" s="14"/>
      <c r="E452" s="14"/>
      <c r="F452" s="14"/>
      <c r="G452" s="14"/>
      <c r="H452" s="14"/>
    </row>
    <row r="453" customFormat="false" ht="15.75" hidden="false" customHeight="false" outlineLevel="0" collapsed="false">
      <c r="C453" s="14"/>
      <c r="D453" s="14"/>
      <c r="E453" s="14"/>
      <c r="F453" s="14"/>
      <c r="G453" s="14"/>
      <c r="H453" s="14"/>
    </row>
    <row r="454" customFormat="false" ht="15.75" hidden="false" customHeight="false" outlineLevel="0" collapsed="false">
      <c r="C454" s="14"/>
      <c r="D454" s="14"/>
      <c r="E454" s="14"/>
      <c r="F454" s="14"/>
      <c r="G454" s="14"/>
      <c r="H454" s="14"/>
    </row>
    <row r="455" customFormat="false" ht="15.75" hidden="false" customHeight="false" outlineLevel="0" collapsed="false">
      <c r="C455" s="14"/>
      <c r="D455" s="14"/>
      <c r="E455" s="14"/>
      <c r="F455" s="14"/>
      <c r="G455" s="14"/>
      <c r="H455" s="14"/>
    </row>
    <row r="456" customFormat="false" ht="15.75" hidden="false" customHeight="false" outlineLevel="0" collapsed="false">
      <c r="C456" s="14"/>
      <c r="D456" s="14"/>
      <c r="E456" s="14"/>
      <c r="F456" s="14"/>
      <c r="G456" s="14"/>
      <c r="H456" s="14"/>
    </row>
    <row r="457" customFormat="false" ht="15.75" hidden="false" customHeight="false" outlineLevel="0" collapsed="false">
      <c r="C457" s="14"/>
      <c r="D457" s="14"/>
      <c r="E457" s="14"/>
      <c r="F457" s="14"/>
      <c r="G457" s="14"/>
      <c r="H457" s="14"/>
    </row>
    <row r="458" customFormat="false" ht="15.75" hidden="false" customHeight="false" outlineLevel="0" collapsed="false">
      <c r="C458" s="14"/>
      <c r="D458" s="14"/>
      <c r="E458" s="14"/>
      <c r="F458" s="14"/>
      <c r="G458" s="14"/>
      <c r="H458" s="14"/>
    </row>
    <row r="459" customFormat="false" ht="15.75" hidden="false" customHeight="false" outlineLevel="0" collapsed="false">
      <c r="C459" s="14"/>
      <c r="D459" s="14"/>
      <c r="E459" s="14"/>
      <c r="F459" s="14"/>
      <c r="G459" s="14"/>
      <c r="H459" s="14"/>
    </row>
    <row r="460" customFormat="false" ht="15.75" hidden="false" customHeight="false" outlineLevel="0" collapsed="false">
      <c r="C460" s="14"/>
      <c r="D460" s="14"/>
      <c r="E460" s="14"/>
      <c r="F460" s="14"/>
      <c r="G460" s="14"/>
      <c r="H460" s="14"/>
    </row>
    <row r="461" customFormat="false" ht="15.75" hidden="false" customHeight="false" outlineLevel="0" collapsed="false">
      <c r="C461" s="14"/>
      <c r="D461" s="14"/>
      <c r="E461" s="14"/>
      <c r="F461" s="14"/>
      <c r="G461" s="14"/>
      <c r="H461" s="14"/>
    </row>
    <row r="462" customFormat="false" ht="15.75" hidden="false" customHeight="false" outlineLevel="0" collapsed="false">
      <c r="C462" s="14"/>
      <c r="D462" s="14"/>
      <c r="E462" s="14"/>
      <c r="F462" s="14"/>
      <c r="G462" s="14"/>
      <c r="H462" s="14"/>
    </row>
    <row r="463" customFormat="false" ht="15.75" hidden="false" customHeight="false" outlineLevel="0" collapsed="false">
      <c r="C463" s="14"/>
      <c r="D463" s="14"/>
      <c r="E463" s="14"/>
      <c r="F463" s="14"/>
      <c r="G463" s="14"/>
      <c r="H463" s="14"/>
    </row>
    <row r="464" customFormat="false" ht="15.75" hidden="false" customHeight="false" outlineLevel="0" collapsed="false">
      <c r="C464" s="14"/>
      <c r="D464" s="14"/>
      <c r="E464" s="14"/>
      <c r="F464" s="14"/>
      <c r="G464" s="14"/>
      <c r="H464" s="14"/>
    </row>
    <row r="465" customFormat="false" ht="15.75" hidden="false" customHeight="false" outlineLevel="0" collapsed="false">
      <c r="C465" s="14"/>
      <c r="D465" s="14"/>
      <c r="E465" s="14"/>
      <c r="F465" s="14"/>
      <c r="G465" s="14"/>
      <c r="H465" s="14"/>
    </row>
    <row r="466" customFormat="false" ht="15.75" hidden="false" customHeight="false" outlineLevel="0" collapsed="false">
      <c r="C466" s="14"/>
      <c r="D466" s="14"/>
      <c r="E466" s="14"/>
      <c r="F466" s="14"/>
      <c r="G466" s="14"/>
      <c r="H466" s="14"/>
    </row>
    <row r="467" customFormat="false" ht="15.75" hidden="false" customHeight="false" outlineLevel="0" collapsed="false">
      <c r="C467" s="14"/>
      <c r="D467" s="14"/>
      <c r="E467" s="14"/>
      <c r="F467" s="14"/>
      <c r="G467" s="14"/>
      <c r="H467" s="14"/>
    </row>
    <row r="468" customFormat="false" ht="15.75" hidden="false" customHeight="false" outlineLevel="0" collapsed="false">
      <c r="C468" s="14"/>
      <c r="D468" s="14"/>
      <c r="E468" s="14"/>
      <c r="F468" s="14"/>
      <c r="G468" s="14"/>
      <c r="H468" s="14"/>
    </row>
    <row r="469" customFormat="false" ht="15.75" hidden="false" customHeight="false" outlineLevel="0" collapsed="false">
      <c r="C469" s="14"/>
      <c r="D469" s="14"/>
      <c r="E469" s="14"/>
      <c r="F469" s="14"/>
      <c r="G469" s="14"/>
      <c r="H469" s="14"/>
    </row>
    <row r="470" customFormat="false" ht="15.75" hidden="false" customHeight="false" outlineLevel="0" collapsed="false">
      <c r="C470" s="14"/>
      <c r="D470" s="14"/>
      <c r="E470" s="14"/>
      <c r="F470" s="14"/>
      <c r="G470" s="14"/>
      <c r="H470" s="14"/>
    </row>
    <row r="471" customFormat="false" ht="15.75" hidden="false" customHeight="false" outlineLevel="0" collapsed="false">
      <c r="C471" s="14"/>
      <c r="D471" s="14"/>
      <c r="E471" s="14"/>
      <c r="F471" s="14"/>
      <c r="G471" s="14"/>
      <c r="H471" s="14"/>
    </row>
    <row r="472" customFormat="false" ht="15.75" hidden="false" customHeight="false" outlineLevel="0" collapsed="false">
      <c r="C472" s="14"/>
      <c r="D472" s="14"/>
      <c r="E472" s="14"/>
      <c r="F472" s="14"/>
      <c r="G472" s="14"/>
      <c r="H472" s="14"/>
    </row>
    <row r="473" customFormat="false" ht="15.75" hidden="false" customHeight="false" outlineLevel="0" collapsed="false">
      <c r="C473" s="14"/>
      <c r="D473" s="14"/>
      <c r="E473" s="14"/>
      <c r="F473" s="14"/>
      <c r="G473" s="14"/>
      <c r="H473" s="14"/>
    </row>
    <row r="474" customFormat="false" ht="15.75" hidden="false" customHeight="false" outlineLevel="0" collapsed="false">
      <c r="C474" s="14"/>
      <c r="D474" s="14"/>
      <c r="E474" s="14"/>
      <c r="F474" s="14"/>
      <c r="G474" s="14"/>
      <c r="H474" s="14"/>
    </row>
    <row r="475" customFormat="false" ht="15.75" hidden="false" customHeight="false" outlineLevel="0" collapsed="false">
      <c r="C475" s="14"/>
      <c r="D475" s="14"/>
      <c r="E475" s="14"/>
      <c r="F475" s="14"/>
      <c r="G475" s="14"/>
      <c r="H475" s="14"/>
    </row>
    <row r="476" customFormat="false" ht="15.75" hidden="false" customHeight="false" outlineLevel="0" collapsed="false">
      <c r="C476" s="14"/>
      <c r="D476" s="14"/>
      <c r="E476" s="14"/>
      <c r="F476" s="14"/>
      <c r="G476" s="14"/>
      <c r="H476" s="14"/>
    </row>
    <row r="477" customFormat="false" ht="15.75" hidden="false" customHeight="false" outlineLevel="0" collapsed="false">
      <c r="C477" s="14"/>
      <c r="D477" s="14"/>
      <c r="E477" s="14"/>
      <c r="F477" s="14"/>
      <c r="G477" s="14"/>
      <c r="H477" s="14"/>
    </row>
    <row r="478" customFormat="false" ht="15.75" hidden="false" customHeight="false" outlineLevel="0" collapsed="false">
      <c r="C478" s="14"/>
      <c r="D478" s="14"/>
      <c r="E478" s="14"/>
      <c r="F478" s="14"/>
      <c r="G478" s="14"/>
      <c r="H478" s="14"/>
    </row>
    <row r="479" customFormat="false" ht="15.75" hidden="false" customHeight="false" outlineLevel="0" collapsed="false">
      <c r="C479" s="14"/>
      <c r="D479" s="14"/>
      <c r="E479" s="14"/>
      <c r="F479" s="14"/>
      <c r="G479" s="14"/>
      <c r="H479" s="14"/>
    </row>
    <row r="480" customFormat="false" ht="15.75" hidden="false" customHeight="false" outlineLevel="0" collapsed="false">
      <c r="C480" s="14"/>
      <c r="D480" s="14"/>
      <c r="E480" s="14"/>
      <c r="F480" s="14"/>
      <c r="G480" s="14"/>
      <c r="H480" s="14"/>
    </row>
    <row r="481" customFormat="false" ht="15.75" hidden="false" customHeight="false" outlineLevel="0" collapsed="false">
      <c r="C481" s="14"/>
      <c r="D481" s="14"/>
      <c r="E481" s="14"/>
      <c r="F481" s="14"/>
      <c r="G481" s="14"/>
      <c r="H481" s="14"/>
    </row>
    <row r="482" customFormat="false" ht="15.75" hidden="false" customHeight="false" outlineLevel="0" collapsed="false">
      <c r="C482" s="14"/>
      <c r="D482" s="14"/>
      <c r="E482" s="14"/>
      <c r="F482" s="14"/>
      <c r="G482" s="14"/>
      <c r="H482" s="14"/>
    </row>
    <row r="483" customFormat="false" ht="15.75" hidden="false" customHeight="false" outlineLevel="0" collapsed="false">
      <c r="C483" s="14"/>
      <c r="D483" s="14"/>
      <c r="E483" s="14"/>
      <c r="F483" s="14"/>
      <c r="G483" s="14"/>
      <c r="H483" s="14"/>
    </row>
    <row r="484" customFormat="false" ht="15.75" hidden="false" customHeight="false" outlineLevel="0" collapsed="false">
      <c r="C484" s="14"/>
      <c r="D484" s="14"/>
      <c r="E484" s="14"/>
      <c r="F484" s="14"/>
      <c r="G484" s="14"/>
      <c r="H484" s="14"/>
    </row>
    <row r="485" customFormat="false" ht="15.75" hidden="false" customHeight="false" outlineLevel="0" collapsed="false">
      <c r="C485" s="14"/>
      <c r="D485" s="14"/>
      <c r="E485" s="14"/>
      <c r="F485" s="14"/>
      <c r="G485" s="14"/>
      <c r="H485" s="14"/>
    </row>
    <row r="486" customFormat="false" ht="15.75" hidden="false" customHeight="false" outlineLevel="0" collapsed="false">
      <c r="C486" s="14"/>
      <c r="D486" s="14"/>
      <c r="E486" s="14"/>
      <c r="F486" s="14"/>
      <c r="G486" s="14"/>
      <c r="H486" s="14"/>
    </row>
    <row r="487" customFormat="false" ht="15.75" hidden="false" customHeight="false" outlineLevel="0" collapsed="false">
      <c r="C487" s="14"/>
      <c r="D487" s="14"/>
      <c r="E487" s="14"/>
      <c r="F487" s="14"/>
      <c r="G487" s="14"/>
      <c r="H487" s="14"/>
    </row>
    <row r="488" customFormat="false" ht="15.75" hidden="false" customHeight="false" outlineLevel="0" collapsed="false">
      <c r="C488" s="14"/>
      <c r="D488" s="14"/>
      <c r="E488" s="14"/>
      <c r="F488" s="14"/>
      <c r="G488" s="14"/>
      <c r="H488" s="14"/>
    </row>
    <row r="489" customFormat="false" ht="15.75" hidden="false" customHeight="false" outlineLevel="0" collapsed="false">
      <c r="C489" s="14"/>
      <c r="D489" s="14"/>
      <c r="E489" s="14"/>
      <c r="F489" s="14"/>
      <c r="G489" s="14"/>
      <c r="H489" s="14"/>
    </row>
    <row r="490" customFormat="false" ht="15.75" hidden="false" customHeight="false" outlineLevel="0" collapsed="false">
      <c r="C490" s="14"/>
      <c r="D490" s="14"/>
      <c r="E490" s="14"/>
      <c r="F490" s="14"/>
      <c r="G490" s="14"/>
      <c r="H490" s="14"/>
    </row>
    <row r="491" customFormat="false" ht="15.75" hidden="false" customHeight="false" outlineLevel="0" collapsed="false">
      <c r="C491" s="14"/>
      <c r="D491" s="14"/>
      <c r="E491" s="14"/>
      <c r="F491" s="14"/>
      <c r="G491" s="14"/>
      <c r="H491" s="14"/>
    </row>
    <row r="492" customFormat="false" ht="15.75" hidden="false" customHeight="false" outlineLevel="0" collapsed="false">
      <c r="C492" s="14"/>
      <c r="D492" s="14"/>
      <c r="E492" s="14"/>
      <c r="F492" s="14"/>
      <c r="G492" s="14"/>
      <c r="H492" s="14"/>
    </row>
    <row r="493" customFormat="false" ht="15.75" hidden="false" customHeight="false" outlineLevel="0" collapsed="false">
      <c r="C493" s="14"/>
      <c r="D493" s="14"/>
      <c r="E493" s="14"/>
      <c r="F493" s="14"/>
      <c r="G493" s="14"/>
      <c r="H493" s="14"/>
    </row>
    <row r="494" customFormat="false" ht="15.75" hidden="false" customHeight="false" outlineLevel="0" collapsed="false">
      <c r="C494" s="14"/>
      <c r="D494" s="14"/>
      <c r="E494" s="14"/>
      <c r="F494" s="14"/>
      <c r="G494" s="14"/>
      <c r="H494" s="14"/>
    </row>
    <row r="495" customFormat="false" ht="15.75" hidden="false" customHeight="false" outlineLevel="0" collapsed="false">
      <c r="C495" s="14"/>
      <c r="D495" s="14"/>
      <c r="E495" s="14"/>
      <c r="F495" s="14"/>
      <c r="G495" s="14"/>
      <c r="H495" s="14"/>
    </row>
    <row r="496" customFormat="false" ht="15.75" hidden="false" customHeight="false" outlineLevel="0" collapsed="false">
      <c r="C496" s="14"/>
      <c r="D496" s="14"/>
      <c r="E496" s="14"/>
      <c r="F496" s="14"/>
      <c r="G496" s="14"/>
      <c r="H496" s="14"/>
    </row>
    <row r="497" customFormat="false" ht="15.75" hidden="false" customHeight="false" outlineLevel="0" collapsed="false">
      <c r="C497" s="14"/>
      <c r="D497" s="14"/>
      <c r="E497" s="14"/>
      <c r="F497" s="14"/>
      <c r="G497" s="14"/>
      <c r="H497" s="14"/>
    </row>
    <row r="498" customFormat="false" ht="15.75" hidden="false" customHeight="false" outlineLevel="0" collapsed="false">
      <c r="C498" s="14"/>
      <c r="D498" s="14"/>
      <c r="E498" s="14"/>
      <c r="F498" s="14"/>
      <c r="G498" s="14"/>
      <c r="H498" s="14"/>
    </row>
    <row r="499" customFormat="false" ht="15.75" hidden="false" customHeight="false" outlineLevel="0" collapsed="false">
      <c r="C499" s="14"/>
      <c r="D499" s="14"/>
      <c r="E499" s="14"/>
      <c r="F499" s="14"/>
      <c r="G499" s="14"/>
      <c r="H499" s="14"/>
    </row>
    <row r="500" customFormat="false" ht="15.75" hidden="false" customHeight="false" outlineLevel="0" collapsed="false">
      <c r="C500" s="14"/>
      <c r="D500" s="14"/>
      <c r="E500" s="14"/>
      <c r="F500" s="14"/>
      <c r="G500" s="14"/>
      <c r="H500" s="14"/>
    </row>
    <row r="501" customFormat="false" ht="15.75" hidden="false" customHeight="false" outlineLevel="0" collapsed="false">
      <c r="C501" s="14"/>
      <c r="D501" s="14"/>
      <c r="E501" s="14"/>
      <c r="F501" s="14"/>
      <c r="G501" s="14"/>
      <c r="H501" s="14"/>
    </row>
    <row r="502" customFormat="false" ht="15.75" hidden="false" customHeight="false" outlineLevel="0" collapsed="false">
      <c r="C502" s="14"/>
      <c r="D502" s="14"/>
      <c r="E502" s="14"/>
      <c r="F502" s="14"/>
      <c r="G502" s="14"/>
      <c r="H502" s="14"/>
    </row>
    <row r="503" customFormat="false" ht="15.75" hidden="false" customHeight="false" outlineLevel="0" collapsed="false">
      <c r="C503" s="14"/>
      <c r="D503" s="14"/>
      <c r="E503" s="14"/>
      <c r="F503" s="14"/>
      <c r="G503" s="14"/>
      <c r="H503" s="14"/>
    </row>
    <row r="504" customFormat="false" ht="15.75" hidden="false" customHeight="false" outlineLevel="0" collapsed="false">
      <c r="C504" s="14"/>
      <c r="D504" s="14"/>
      <c r="E504" s="14"/>
      <c r="F504" s="14"/>
      <c r="G504" s="14"/>
      <c r="H504" s="14"/>
    </row>
    <row r="505" customFormat="false" ht="15.75" hidden="false" customHeight="false" outlineLevel="0" collapsed="false">
      <c r="C505" s="14"/>
      <c r="D505" s="14"/>
      <c r="E505" s="14"/>
      <c r="F505" s="14"/>
      <c r="G505" s="14"/>
      <c r="H505" s="14"/>
    </row>
    <row r="506" customFormat="false" ht="15.75" hidden="false" customHeight="false" outlineLevel="0" collapsed="false">
      <c r="C506" s="14"/>
      <c r="D506" s="14"/>
      <c r="E506" s="14"/>
      <c r="F506" s="14"/>
      <c r="G506" s="14"/>
      <c r="H506" s="14"/>
    </row>
    <row r="507" customFormat="false" ht="15.75" hidden="false" customHeight="false" outlineLevel="0" collapsed="false">
      <c r="C507" s="14"/>
      <c r="D507" s="14"/>
      <c r="E507" s="14"/>
      <c r="F507" s="14"/>
      <c r="G507" s="14"/>
      <c r="H507" s="14"/>
    </row>
    <row r="508" customFormat="false" ht="15.75" hidden="false" customHeight="false" outlineLevel="0" collapsed="false">
      <c r="C508" s="14"/>
      <c r="D508" s="14"/>
      <c r="E508" s="14"/>
      <c r="F508" s="14"/>
      <c r="G508" s="14"/>
      <c r="H508" s="14"/>
    </row>
    <row r="509" customFormat="false" ht="15.75" hidden="false" customHeight="false" outlineLevel="0" collapsed="false">
      <c r="C509" s="14"/>
      <c r="D509" s="14"/>
      <c r="E509" s="14"/>
      <c r="F509" s="14"/>
      <c r="G509" s="14"/>
      <c r="H509" s="14"/>
    </row>
    <row r="510" customFormat="false" ht="15.75" hidden="false" customHeight="false" outlineLevel="0" collapsed="false">
      <c r="C510" s="14"/>
      <c r="D510" s="14"/>
      <c r="E510" s="14"/>
      <c r="F510" s="14"/>
      <c r="G510" s="14"/>
      <c r="H510" s="14"/>
    </row>
    <row r="511" customFormat="false" ht="15.75" hidden="false" customHeight="false" outlineLevel="0" collapsed="false">
      <c r="C511" s="14"/>
      <c r="D511" s="14"/>
      <c r="E511" s="14"/>
      <c r="F511" s="14"/>
      <c r="G511" s="14"/>
      <c r="H511" s="14"/>
    </row>
    <row r="512" customFormat="false" ht="15.75" hidden="false" customHeight="false" outlineLevel="0" collapsed="false">
      <c r="C512" s="14"/>
      <c r="D512" s="14"/>
      <c r="E512" s="14"/>
      <c r="F512" s="14"/>
      <c r="G512" s="14"/>
      <c r="H512" s="14"/>
    </row>
    <row r="513" customFormat="false" ht="15.75" hidden="false" customHeight="false" outlineLevel="0" collapsed="false">
      <c r="C513" s="14"/>
      <c r="D513" s="14"/>
      <c r="E513" s="14"/>
      <c r="F513" s="14"/>
      <c r="G513" s="14"/>
      <c r="H513" s="14"/>
    </row>
    <row r="514" customFormat="false" ht="15.75" hidden="false" customHeight="false" outlineLevel="0" collapsed="false">
      <c r="C514" s="14"/>
      <c r="D514" s="14"/>
      <c r="E514" s="14"/>
      <c r="F514" s="14"/>
      <c r="G514" s="14"/>
      <c r="H514" s="14"/>
    </row>
    <row r="515" customFormat="false" ht="15.75" hidden="false" customHeight="false" outlineLevel="0" collapsed="false">
      <c r="C515" s="14"/>
      <c r="D515" s="14"/>
      <c r="E515" s="14"/>
      <c r="F515" s="14"/>
      <c r="G515" s="14"/>
      <c r="H515" s="14"/>
    </row>
    <row r="516" customFormat="false" ht="15.75" hidden="false" customHeight="false" outlineLevel="0" collapsed="false">
      <c r="C516" s="14"/>
      <c r="D516" s="14"/>
      <c r="E516" s="14"/>
      <c r="F516" s="14"/>
      <c r="G516" s="14"/>
      <c r="H516" s="14"/>
    </row>
    <row r="517" customFormat="false" ht="15.75" hidden="false" customHeight="false" outlineLevel="0" collapsed="false">
      <c r="C517" s="14"/>
      <c r="D517" s="14"/>
      <c r="E517" s="14"/>
      <c r="F517" s="14"/>
      <c r="G517" s="14"/>
      <c r="H517" s="14"/>
    </row>
    <row r="518" customFormat="false" ht="15.75" hidden="false" customHeight="false" outlineLevel="0" collapsed="false">
      <c r="C518" s="14"/>
      <c r="D518" s="14"/>
      <c r="E518" s="14"/>
      <c r="F518" s="14"/>
      <c r="G518" s="14"/>
      <c r="H518" s="14"/>
    </row>
    <row r="519" customFormat="false" ht="15.75" hidden="false" customHeight="false" outlineLevel="0" collapsed="false">
      <c r="C519" s="14"/>
      <c r="D519" s="14"/>
      <c r="E519" s="14"/>
      <c r="F519" s="14"/>
      <c r="G519" s="14"/>
      <c r="H519" s="14"/>
    </row>
    <row r="520" customFormat="false" ht="15.75" hidden="false" customHeight="false" outlineLevel="0" collapsed="false">
      <c r="C520" s="14"/>
      <c r="D520" s="14"/>
      <c r="E520" s="14"/>
      <c r="F520" s="14"/>
      <c r="G520" s="14"/>
      <c r="H520" s="14"/>
    </row>
    <row r="521" customFormat="false" ht="15.75" hidden="false" customHeight="false" outlineLevel="0" collapsed="false">
      <c r="C521" s="14"/>
      <c r="D521" s="14"/>
      <c r="E521" s="14"/>
      <c r="F521" s="14"/>
      <c r="G521" s="14"/>
      <c r="H521" s="14"/>
    </row>
    <row r="522" customFormat="false" ht="15.75" hidden="false" customHeight="false" outlineLevel="0" collapsed="false">
      <c r="C522" s="14"/>
      <c r="D522" s="14"/>
      <c r="E522" s="14"/>
      <c r="F522" s="14"/>
      <c r="G522" s="14"/>
      <c r="H522" s="14"/>
    </row>
    <row r="523" customFormat="false" ht="15.75" hidden="false" customHeight="false" outlineLevel="0" collapsed="false">
      <c r="C523" s="14"/>
      <c r="D523" s="14"/>
      <c r="E523" s="14"/>
      <c r="F523" s="14"/>
      <c r="G523" s="14"/>
      <c r="H523" s="14"/>
    </row>
    <row r="524" customFormat="false" ht="15.75" hidden="false" customHeight="false" outlineLevel="0" collapsed="false">
      <c r="C524" s="14"/>
      <c r="D524" s="14"/>
      <c r="E524" s="14"/>
      <c r="F524" s="14"/>
      <c r="G524" s="14"/>
      <c r="H524" s="14"/>
    </row>
    <row r="525" customFormat="false" ht="15.75" hidden="false" customHeight="false" outlineLevel="0" collapsed="false">
      <c r="C525" s="14"/>
      <c r="D525" s="14"/>
      <c r="E525" s="14"/>
      <c r="F525" s="14"/>
      <c r="G525" s="14"/>
      <c r="H525" s="14"/>
    </row>
    <row r="526" customFormat="false" ht="15.75" hidden="false" customHeight="false" outlineLevel="0" collapsed="false">
      <c r="C526" s="14"/>
      <c r="D526" s="14"/>
      <c r="E526" s="14"/>
      <c r="F526" s="14"/>
      <c r="G526" s="14"/>
      <c r="H526" s="14"/>
    </row>
    <row r="527" customFormat="false" ht="15.75" hidden="false" customHeight="false" outlineLevel="0" collapsed="false">
      <c r="C527" s="14"/>
      <c r="D527" s="14"/>
      <c r="E527" s="14"/>
      <c r="F527" s="14"/>
      <c r="G527" s="14"/>
      <c r="H527" s="14"/>
    </row>
    <row r="528" customFormat="false" ht="15.75" hidden="false" customHeight="false" outlineLevel="0" collapsed="false">
      <c r="C528" s="14"/>
      <c r="D528" s="14"/>
      <c r="E528" s="14"/>
      <c r="F528" s="14"/>
      <c r="G528" s="14"/>
      <c r="H528" s="14"/>
    </row>
    <row r="529" customFormat="false" ht="15.75" hidden="false" customHeight="false" outlineLevel="0" collapsed="false">
      <c r="C529" s="14"/>
      <c r="D529" s="14"/>
      <c r="E529" s="14"/>
      <c r="F529" s="14"/>
      <c r="G529" s="14"/>
      <c r="H529" s="14"/>
    </row>
    <row r="530" customFormat="false" ht="15.75" hidden="false" customHeight="false" outlineLevel="0" collapsed="false">
      <c r="C530" s="14"/>
      <c r="D530" s="14"/>
      <c r="E530" s="14"/>
      <c r="F530" s="14"/>
      <c r="G530" s="14"/>
      <c r="H530" s="14"/>
    </row>
    <row r="531" customFormat="false" ht="15.75" hidden="false" customHeight="false" outlineLevel="0" collapsed="false">
      <c r="C531" s="14"/>
      <c r="D531" s="14"/>
      <c r="E531" s="14"/>
      <c r="F531" s="14"/>
      <c r="G531" s="14"/>
      <c r="H531" s="14"/>
    </row>
    <row r="532" customFormat="false" ht="15.75" hidden="false" customHeight="false" outlineLevel="0" collapsed="false">
      <c r="C532" s="14"/>
      <c r="D532" s="14"/>
      <c r="E532" s="14"/>
      <c r="F532" s="14"/>
      <c r="G532" s="14"/>
      <c r="H532" s="14"/>
    </row>
    <row r="533" customFormat="false" ht="15.75" hidden="false" customHeight="false" outlineLevel="0" collapsed="false">
      <c r="C533" s="14"/>
      <c r="D533" s="14"/>
      <c r="E533" s="14"/>
      <c r="F533" s="14"/>
      <c r="G533" s="14"/>
      <c r="H533" s="14"/>
    </row>
    <row r="534" customFormat="false" ht="15.75" hidden="false" customHeight="false" outlineLevel="0" collapsed="false">
      <c r="C534" s="14"/>
      <c r="D534" s="14"/>
      <c r="E534" s="14"/>
      <c r="F534" s="14"/>
      <c r="G534" s="14"/>
      <c r="H534" s="14"/>
    </row>
    <row r="535" customFormat="false" ht="15.75" hidden="false" customHeight="false" outlineLevel="0" collapsed="false">
      <c r="C535" s="14"/>
      <c r="D535" s="14"/>
      <c r="E535" s="14"/>
      <c r="F535" s="14"/>
      <c r="G535" s="14"/>
      <c r="H535" s="14"/>
    </row>
    <row r="536" customFormat="false" ht="15.75" hidden="false" customHeight="false" outlineLevel="0" collapsed="false">
      <c r="C536" s="14"/>
      <c r="D536" s="14"/>
      <c r="E536" s="14"/>
      <c r="F536" s="14"/>
      <c r="G536" s="14"/>
      <c r="H536" s="14"/>
    </row>
    <row r="537" customFormat="false" ht="15.75" hidden="false" customHeight="false" outlineLevel="0" collapsed="false">
      <c r="C537" s="14"/>
      <c r="D537" s="14"/>
      <c r="E537" s="14"/>
      <c r="F537" s="14"/>
      <c r="G537" s="14"/>
      <c r="H537" s="14"/>
    </row>
    <row r="538" customFormat="false" ht="15.75" hidden="false" customHeight="false" outlineLevel="0" collapsed="false">
      <c r="C538" s="14"/>
      <c r="D538" s="14"/>
      <c r="E538" s="14"/>
      <c r="F538" s="14"/>
      <c r="G538" s="14"/>
      <c r="H538" s="14"/>
    </row>
    <row r="539" customFormat="false" ht="15.75" hidden="false" customHeight="false" outlineLevel="0" collapsed="false">
      <c r="C539" s="14"/>
      <c r="D539" s="14"/>
      <c r="E539" s="14"/>
      <c r="F539" s="14"/>
      <c r="G539" s="14"/>
      <c r="H539" s="14"/>
    </row>
    <row r="540" customFormat="false" ht="15.75" hidden="false" customHeight="false" outlineLevel="0" collapsed="false">
      <c r="C540" s="14"/>
      <c r="D540" s="14"/>
      <c r="E540" s="14"/>
      <c r="F540" s="14"/>
      <c r="G540" s="14"/>
      <c r="H540" s="14"/>
    </row>
    <row r="541" customFormat="false" ht="15.75" hidden="false" customHeight="false" outlineLevel="0" collapsed="false">
      <c r="C541" s="14"/>
      <c r="D541" s="14"/>
      <c r="E541" s="14"/>
      <c r="F541" s="14"/>
      <c r="G541" s="14"/>
      <c r="H541" s="14"/>
    </row>
    <row r="542" customFormat="false" ht="15.75" hidden="false" customHeight="false" outlineLevel="0" collapsed="false">
      <c r="C542" s="14"/>
      <c r="D542" s="14"/>
      <c r="E542" s="14"/>
      <c r="F542" s="14"/>
      <c r="G542" s="14"/>
      <c r="H542" s="14"/>
    </row>
    <row r="543" customFormat="false" ht="15.75" hidden="false" customHeight="false" outlineLevel="0" collapsed="false">
      <c r="C543" s="14"/>
      <c r="D543" s="14"/>
      <c r="E543" s="14"/>
      <c r="F543" s="14"/>
      <c r="G543" s="14"/>
      <c r="H543" s="14"/>
    </row>
    <row r="544" customFormat="false" ht="15.75" hidden="false" customHeight="false" outlineLevel="0" collapsed="false">
      <c r="C544" s="14"/>
      <c r="D544" s="14"/>
      <c r="E544" s="14"/>
      <c r="F544" s="14"/>
      <c r="G544" s="14"/>
      <c r="H544" s="14"/>
    </row>
    <row r="545" customFormat="false" ht="15.75" hidden="false" customHeight="false" outlineLevel="0" collapsed="false">
      <c r="C545" s="14"/>
      <c r="D545" s="14"/>
      <c r="E545" s="14"/>
      <c r="F545" s="14"/>
      <c r="G545" s="14"/>
      <c r="H545" s="14"/>
    </row>
    <row r="546" customFormat="false" ht="15.75" hidden="false" customHeight="false" outlineLevel="0" collapsed="false">
      <c r="C546" s="14"/>
      <c r="D546" s="14"/>
      <c r="E546" s="14"/>
      <c r="F546" s="14"/>
      <c r="G546" s="14"/>
      <c r="H546" s="14"/>
    </row>
    <row r="547" customFormat="false" ht="15.75" hidden="false" customHeight="false" outlineLevel="0" collapsed="false">
      <c r="C547" s="14"/>
      <c r="D547" s="14"/>
      <c r="E547" s="14"/>
      <c r="F547" s="14"/>
      <c r="G547" s="14"/>
      <c r="H547" s="14"/>
    </row>
    <row r="548" customFormat="false" ht="15.75" hidden="false" customHeight="false" outlineLevel="0" collapsed="false">
      <c r="C548" s="14"/>
      <c r="D548" s="14"/>
      <c r="E548" s="14"/>
      <c r="F548" s="14"/>
      <c r="G548" s="14"/>
      <c r="H548" s="14"/>
    </row>
    <row r="549" customFormat="false" ht="15.75" hidden="false" customHeight="false" outlineLevel="0" collapsed="false">
      <c r="C549" s="14"/>
      <c r="D549" s="14"/>
      <c r="E549" s="14"/>
      <c r="F549" s="14"/>
      <c r="G549" s="14"/>
      <c r="H549" s="14"/>
    </row>
    <row r="550" customFormat="false" ht="15.75" hidden="false" customHeight="false" outlineLevel="0" collapsed="false">
      <c r="C550" s="14"/>
      <c r="D550" s="14"/>
      <c r="E550" s="14"/>
      <c r="F550" s="14"/>
      <c r="G550" s="14"/>
      <c r="H550" s="14"/>
    </row>
    <row r="551" customFormat="false" ht="15.75" hidden="false" customHeight="false" outlineLevel="0" collapsed="false">
      <c r="C551" s="14"/>
      <c r="D551" s="14"/>
      <c r="E551" s="14"/>
      <c r="F551" s="14"/>
      <c r="G551" s="14"/>
      <c r="H551" s="14"/>
    </row>
    <row r="552" customFormat="false" ht="15.75" hidden="false" customHeight="false" outlineLevel="0" collapsed="false">
      <c r="C552" s="14"/>
      <c r="D552" s="14"/>
      <c r="E552" s="14"/>
      <c r="F552" s="14"/>
      <c r="G552" s="14"/>
      <c r="H552" s="14"/>
    </row>
    <row r="553" customFormat="false" ht="15.75" hidden="false" customHeight="false" outlineLevel="0" collapsed="false">
      <c r="C553" s="14"/>
      <c r="D553" s="14"/>
      <c r="E553" s="14"/>
      <c r="F553" s="14"/>
      <c r="G553" s="14"/>
      <c r="H553" s="14"/>
    </row>
    <row r="554" customFormat="false" ht="15.75" hidden="false" customHeight="false" outlineLevel="0" collapsed="false">
      <c r="C554" s="14"/>
      <c r="D554" s="14"/>
      <c r="E554" s="14"/>
      <c r="F554" s="14"/>
      <c r="G554" s="14"/>
      <c r="H554" s="14"/>
    </row>
    <row r="555" customFormat="false" ht="15.75" hidden="false" customHeight="false" outlineLevel="0" collapsed="false">
      <c r="C555" s="14"/>
      <c r="D555" s="14"/>
      <c r="E555" s="14"/>
      <c r="F555" s="14"/>
      <c r="G555" s="14"/>
      <c r="H555" s="14"/>
    </row>
    <row r="556" customFormat="false" ht="15.75" hidden="false" customHeight="false" outlineLevel="0" collapsed="false">
      <c r="C556" s="14"/>
      <c r="D556" s="14"/>
      <c r="E556" s="14"/>
      <c r="F556" s="14"/>
      <c r="G556" s="14"/>
      <c r="H556" s="14"/>
    </row>
    <row r="557" customFormat="false" ht="15.75" hidden="false" customHeight="false" outlineLevel="0" collapsed="false">
      <c r="C557" s="14"/>
      <c r="D557" s="14"/>
      <c r="E557" s="14"/>
      <c r="F557" s="14"/>
      <c r="G557" s="14"/>
      <c r="H557" s="14"/>
    </row>
    <row r="558" customFormat="false" ht="15.75" hidden="false" customHeight="false" outlineLevel="0" collapsed="false">
      <c r="C558" s="14"/>
      <c r="D558" s="14"/>
      <c r="E558" s="14"/>
      <c r="F558" s="14"/>
      <c r="G558" s="14"/>
      <c r="H558" s="14"/>
    </row>
    <row r="559" customFormat="false" ht="15.75" hidden="false" customHeight="false" outlineLevel="0" collapsed="false">
      <c r="C559" s="14"/>
      <c r="D559" s="14"/>
      <c r="E559" s="14"/>
      <c r="F559" s="14"/>
      <c r="G559" s="14"/>
      <c r="H559" s="14"/>
    </row>
    <row r="560" customFormat="false" ht="15.75" hidden="false" customHeight="false" outlineLevel="0" collapsed="false">
      <c r="C560" s="14"/>
      <c r="D560" s="14"/>
      <c r="E560" s="14"/>
      <c r="F560" s="14"/>
      <c r="G560" s="14"/>
      <c r="H560" s="14"/>
    </row>
    <row r="561" customFormat="false" ht="15.75" hidden="false" customHeight="false" outlineLevel="0" collapsed="false">
      <c r="C561" s="14"/>
      <c r="D561" s="14"/>
      <c r="E561" s="14"/>
      <c r="F561" s="14"/>
      <c r="G561" s="14"/>
      <c r="H561" s="14"/>
    </row>
    <row r="562" customFormat="false" ht="15.75" hidden="false" customHeight="false" outlineLevel="0" collapsed="false">
      <c r="C562" s="14"/>
      <c r="D562" s="14"/>
      <c r="E562" s="14"/>
      <c r="F562" s="14"/>
      <c r="G562" s="14"/>
      <c r="H562" s="14"/>
    </row>
    <row r="563" customFormat="false" ht="15.75" hidden="false" customHeight="false" outlineLevel="0" collapsed="false">
      <c r="C563" s="14"/>
      <c r="D563" s="14"/>
      <c r="E563" s="14"/>
      <c r="F563" s="14"/>
      <c r="G563" s="14"/>
      <c r="H563" s="14"/>
    </row>
    <row r="564" customFormat="false" ht="15.75" hidden="false" customHeight="false" outlineLevel="0" collapsed="false">
      <c r="C564" s="14"/>
      <c r="D564" s="14"/>
      <c r="E564" s="14"/>
      <c r="F564" s="14"/>
      <c r="G564" s="14"/>
      <c r="H564" s="14"/>
    </row>
    <row r="565" customFormat="false" ht="15.75" hidden="false" customHeight="false" outlineLevel="0" collapsed="false">
      <c r="C565" s="14"/>
      <c r="D565" s="14"/>
      <c r="E565" s="14"/>
      <c r="F565" s="14"/>
      <c r="G565" s="14"/>
      <c r="H565" s="14"/>
    </row>
    <row r="566" customFormat="false" ht="15.75" hidden="false" customHeight="false" outlineLevel="0" collapsed="false">
      <c r="C566" s="14"/>
      <c r="D566" s="14"/>
      <c r="E566" s="14"/>
      <c r="F566" s="14"/>
      <c r="G566" s="14"/>
      <c r="H566" s="14"/>
    </row>
    <row r="567" customFormat="false" ht="15.75" hidden="false" customHeight="false" outlineLevel="0" collapsed="false">
      <c r="C567" s="14"/>
      <c r="D567" s="14"/>
      <c r="E567" s="14"/>
      <c r="F567" s="14"/>
      <c r="G567" s="14"/>
      <c r="H567" s="14"/>
    </row>
    <row r="568" customFormat="false" ht="15.75" hidden="false" customHeight="false" outlineLevel="0" collapsed="false">
      <c r="C568" s="14"/>
      <c r="D568" s="14"/>
      <c r="E568" s="14"/>
      <c r="F568" s="14"/>
      <c r="G568" s="14"/>
      <c r="H568" s="14"/>
    </row>
    <row r="569" customFormat="false" ht="15.75" hidden="false" customHeight="false" outlineLevel="0" collapsed="false">
      <c r="C569" s="14"/>
      <c r="D569" s="14"/>
      <c r="E569" s="14"/>
      <c r="F569" s="14"/>
      <c r="G569" s="14"/>
      <c r="H569" s="14"/>
    </row>
    <row r="570" customFormat="false" ht="15.75" hidden="false" customHeight="false" outlineLevel="0" collapsed="false">
      <c r="C570" s="14"/>
      <c r="D570" s="14"/>
      <c r="E570" s="14"/>
      <c r="F570" s="14"/>
      <c r="G570" s="14"/>
      <c r="H570" s="14"/>
    </row>
    <row r="571" customFormat="false" ht="15.75" hidden="false" customHeight="false" outlineLevel="0" collapsed="false">
      <c r="C571" s="14"/>
      <c r="D571" s="14"/>
      <c r="E571" s="14"/>
      <c r="F571" s="14"/>
      <c r="G571" s="14"/>
      <c r="H571" s="14"/>
    </row>
    <row r="572" customFormat="false" ht="15.75" hidden="false" customHeight="false" outlineLevel="0" collapsed="false">
      <c r="C572" s="14"/>
      <c r="D572" s="14"/>
      <c r="E572" s="14"/>
      <c r="F572" s="14"/>
      <c r="G572" s="14"/>
      <c r="H572" s="14"/>
    </row>
    <row r="573" customFormat="false" ht="15.75" hidden="false" customHeight="false" outlineLevel="0" collapsed="false">
      <c r="C573" s="14"/>
      <c r="D573" s="14"/>
      <c r="E573" s="14"/>
      <c r="F573" s="14"/>
      <c r="G573" s="14"/>
      <c r="H573" s="14"/>
    </row>
    <row r="574" customFormat="false" ht="15.75" hidden="false" customHeight="false" outlineLevel="0" collapsed="false">
      <c r="C574" s="14"/>
      <c r="D574" s="14"/>
      <c r="E574" s="14"/>
      <c r="F574" s="14"/>
      <c r="G574" s="14"/>
      <c r="H574" s="14"/>
    </row>
    <row r="575" customFormat="false" ht="15.75" hidden="false" customHeight="false" outlineLevel="0" collapsed="false">
      <c r="C575" s="14"/>
      <c r="D575" s="14"/>
      <c r="E575" s="14"/>
      <c r="F575" s="14"/>
      <c r="G575" s="14"/>
      <c r="H575" s="14"/>
    </row>
    <row r="576" customFormat="false" ht="15.75" hidden="false" customHeight="false" outlineLevel="0" collapsed="false">
      <c r="C576" s="14"/>
      <c r="D576" s="14"/>
      <c r="E576" s="14"/>
      <c r="F576" s="14"/>
      <c r="G576" s="14"/>
      <c r="H576" s="14"/>
    </row>
    <row r="577" customFormat="false" ht="15.75" hidden="false" customHeight="false" outlineLevel="0" collapsed="false">
      <c r="C577" s="14"/>
      <c r="D577" s="14"/>
      <c r="E577" s="14"/>
      <c r="F577" s="14"/>
      <c r="G577" s="14"/>
      <c r="H577" s="14"/>
    </row>
    <row r="578" customFormat="false" ht="15.75" hidden="false" customHeight="false" outlineLevel="0" collapsed="false">
      <c r="C578" s="14"/>
      <c r="D578" s="14"/>
      <c r="E578" s="14"/>
      <c r="F578" s="14"/>
      <c r="G578" s="14"/>
      <c r="H578" s="14"/>
    </row>
    <row r="579" customFormat="false" ht="15.75" hidden="false" customHeight="false" outlineLevel="0" collapsed="false">
      <c r="C579" s="14"/>
      <c r="D579" s="14"/>
      <c r="E579" s="14"/>
      <c r="F579" s="14"/>
      <c r="G579" s="14"/>
      <c r="H579" s="14"/>
    </row>
    <row r="580" customFormat="false" ht="15.75" hidden="false" customHeight="false" outlineLevel="0" collapsed="false">
      <c r="C580" s="14"/>
      <c r="D580" s="14"/>
      <c r="E580" s="14"/>
      <c r="F580" s="14"/>
      <c r="G580" s="14"/>
      <c r="H580" s="14"/>
    </row>
    <row r="581" customFormat="false" ht="15.75" hidden="false" customHeight="false" outlineLevel="0" collapsed="false">
      <c r="C581" s="14"/>
      <c r="D581" s="14"/>
      <c r="E581" s="14"/>
      <c r="F581" s="14"/>
      <c r="G581" s="14"/>
      <c r="H581" s="14"/>
    </row>
    <row r="582" customFormat="false" ht="15.75" hidden="false" customHeight="false" outlineLevel="0" collapsed="false">
      <c r="C582" s="14"/>
      <c r="D582" s="14"/>
      <c r="E582" s="14"/>
      <c r="F582" s="14"/>
      <c r="G582" s="14"/>
      <c r="H582" s="14"/>
    </row>
    <row r="583" customFormat="false" ht="15.75" hidden="false" customHeight="false" outlineLevel="0" collapsed="false">
      <c r="C583" s="14"/>
      <c r="D583" s="14"/>
      <c r="E583" s="14"/>
      <c r="F583" s="14"/>
      <c r="G583" s="14"/>
      <c r="H583" s="14"/>
    </row>
    <row r="584" customFormat="false" ht="15.75" hidden="false" customHeight="false" outlineLevel="0" collapsed="false">
      <c r="C584" s="14"/>
      <c r="D584" s="14"/>
      <c r="E584" s="14"/>
      <c r="F584" s="14"/>
      <c r="G584" s="14"/>
      <c r="H584" s="14"/>
    </row>
    <row r="585" customFormat="false" ht="15.75" hidden="false" customHeight="false" outlineLevel="0" collapsed="false">
      <c r="C585" s="14"/>
      <c r="D585" s="14"/>
      <c r="E585" s="14"/>
      <c r="F585" s="14"/>
      <c r="G585" s="14"/>
      <c r="H585" s="14"/>
    </row>
    <row r="586" customFormat="false" ht="15.75" hidden="false" customHeight="false" outlineLevel="0" collapsed="false">
      <c r="C586" s="14"/>
      <c r="D586" s="14"/>
      <c r="E586" s="14"/>
      <c r="F586" s="14"/>
      <c r="G586" s="14"/>
      <c r="H586" s="14"/>
    </row>
    <row r="587" customFormat="false" ht="15.75" hidden="false" customHeight="false" outlineLevel="0" collapsed="false">
      <c r="C587" s="14"/>
      <c r="D587" s="14"/>
      <c r="E587" s="14"/>
      <c r="F587" s="14"/>
      <c r="G587" s="14"/>
      <c r="H587" s="14"/>
    </row>
    <row r="588" customFormat="false" ht="15.75" hidden="false" customHeight="false" outlineLevel="0" collapsed="false">
      <c r="C588" s="14"/>
      <c r="D588" s="14"/>
      <c r="E588" s="14"/>
      <c r="F588" s="14"/>
      <c r="G588" s="14"/>
      <c r="H588" s="14"/>
    </row>
    <row r="589" customFormat="false" ht="15.75" hidden="false" customHeight="false" outlineLevel="0" collapsed="false">
      <c r="C589" s="14"/>
      <c r="D589" s="14"/>
      <c r="E589" s="14"/>
      <c r="F589" s="14"/>
      <c r="G589" s="14"/>
      <c r="H589" s="14"/>
    </row>
    <row r="590" customFormat="false" ht="15.75" hidden="false" customHeight="false" outlineLevel="0" collapsed="false">
      <c r="C590" s="14"/>
      <c r="D590" s="14"/>
      <c r="E590" s="14"/>
      <c r="F590" s="14"/>
      <c r="G590" s="14"/>
      <c r="H590" s="14"/>
    </row>
    <row r="591" customFormat="false" ht="15.75" hidden="false" customHeight="false" outlineLevel="0" collapsed="false">
      <c r="C591" s="14"/>
      <c r="D591" s="14"/>
      <c r="E591" s="14"/>
      <c r="F591" s="14"/>
      <c r="G591" s="14"/>
      <c r="H591" s="14"/>
    </row>
    <row r="592" customFormat="false" ht="15.75" hidden="false" customHeight="false" outlineLevel="0" collapsed="false">
      <c r="C592" s="14"/>
      <c r="D592" s="14"/>
      <c r="E592" s="14"/>
      <c r="F592" s="14"/>
      <c r="G592" s="14"/>
      <c r="H592" s="14"/>
    </row>
    <row r="593" customFormat="false" ht="15.75" hidden="false" customHeight="false" outlineLevel="0" collapsed="false">
      <c r="C593" s="14"/>
      <c r="D593" s="14"/>
      <c r="E593" s="14"/>
      <c r="F593" s="14"/>
      <c r="G593" s="14"/>
      <c r="H593" s="14"/>
    </row>
    <row r="594" customFormat="false" ht="15.75" hidden="false" customHeight="false" outlineLevel="0" collapsed="false">
      <c r="C594" s="14"/>
      <c r="D594" s="14"/>
      <c r="E594" s="14"/>
      <c r="F594" s="14"/>
      <c r="G594" s="14"/>
      <c r="H594" s="14"/>
    </row>
    <row r="595" customFormat="false" ht="15.75" hidden="false" customHeight="false" outlineLevel="0" collapsed="false">
      <c r="C595" s="14"/>
      <c r="D595" s="14"/>
      <c r="E595" s="14"/>
      <c r="F595" s="14"/>
      <c r="G595" s="14"/>
      <c r="H595" s="14"/>
    </row>
    <row r="596" customFormat="false" ht="15.75" hidden="false" customHeight="false" outlineLevel="0" collapsed="false">
      <c r="C596" s="14"/>
      <c r="D596" s="14"/>
      <c r="E596" s="14"/>
      <c r="F596" s="14"/>
      <c r="G596" s="14"/>
      <c r="H596" s="14"/>
    </row>
    <row r="597" customFormat="false" ht="15.75" hidden="false" customHeight="false" outlineLevel="0" collapsed="false">
      <c r="C597" s="14"/>
      <c r="D597" s="14"/>
      <c r="E597" s="14"/>
      <c r="F597" s="14"/>
      <c r="G597" s="14"/>
      <c r="H597" s="14"/>
    </row>
    <row r="598" customFormat="false" ht="15.75" hidden="false" customHeight="false" outlineLevel="0" collapsed="false">
      <c r="C598" s="14"/>
      <c r="D598" s="14"/>
      <c r="E598" s="14"/>
      <c r="F598" s="14"/>
      <c r="G598" s="14"/>
      <c r="H598" s="14"/>
    </row>
    <row r="599" customFormat="false" ht="15.75" hidden="false" customHeight="false" outlineLevel="0" collapsed="false">
      <c r="C599" s="14"/>
      <c r="D599" s="14"/>
      <c r="E599" s="14"/>
      <c r="F599" s="14"/>
      <c r="G599" s="14"/>
      <c r="H599" s="14"/>
    </row>
    <row r="600" customFormat="false" ht="15.75" hidden="false" customHeight="false" outlineLevel="0" collapsed="false">
      <c r="C600" s="14"/>
      <c r="D600" s="14"/>
      <c r="E600" s="14"/>
      <c r="F600" s="14"/>
      <c r="G600" s="14"/>
      <c r="H600" s="14"/>
    </row>
    <row r="601" customFormat="false" ht="15.75" hidden="false" customHeight="false" outlineLevel="0" collapsed="false">
      <c r="C601" s="14"/>
      <c r="D601" s="14"/>
      <c r="E601" s="14"/>
      <c r="F601" s="14"/>
      <c r="G601" s="14"/>
      <c r="H601" s="14"/>
    </row>
    <row r="602" customFormat="false" ht="15.75" hidden="false" customHeight="false" outlineLevel="0" collapsed="false">
      <c r="C602" s="14"/>
      <c r="D602" s="14"/>
      <c r="E602" s="14"/>
      <c r="F602" s="14"/>
      <c r="G602" s="14"/>
      <c r="H602" s="14"/>
    </row>
    <row r="603" customFormat="false" ht="15.75" hidden="false" customHeight="false" outlineLevel="0" collapsed="false">
      <c r="C603" s="14"/>
      <c r="D603" s="14"/>
      <c r="E603" s="14"/>
      <c r="F603" s="14"/>
      <c r="G603" s="14"/>
      <c r="H603" s="14"/>
    </row>
    <row r="604" customFormat="false" ht="15.75" hidden="false" customHeight="false" outlineLevel="0" collapsed="false">
      <c r="C604" s="14"/>
      <c r="D604" s="14"/>
      <c r="E604" s="14"/>
      <c r="F604" s="14"/>
      <c r="G604" s="14"/>
      <c r="H604" s="14"/>
    </row>
    <row r="605" customFormat="false" ht="15.75" hidden="false" customHeight="false" outlineLevel="0" collapsed="false">
      <c r="C605" s="14"/>
      <c r="D605" s="14"/>
      <c r="E605" s="14"/>
      <c r="F605" s="14"/>
      <c r="G605" s="14"/>
      <c r="H605" s="14"/>
    </row>
    <row r="606" customFormat="false" ht="15.75" hidden="false" customHeight="false" outlineLevel="0" collapsed="false">
      <c r="C606" s="14"/>
      <c r="D606" s="14"/>
      <c r="E606" s="14"/>
      <c r="F606" s="14"/>
      <c r="G606" s="14"/>
      <c r="H606" s="14"/>
    </row>
    <row r="607" customFormat="false" ht="15.75" hidden="false" customHeight="false" outlineLevel="0" collapsed="false">
      <c r="C607" s="14"/>
      <c r="D607" s="14"/>
      <c r="E607" s="14"/>
      <c r="F607" s="14"/>
      <c r="G607" s="14"/>
      <c r="H607" s="14"/>
    </row>
    <row r="608" customFormat="false" ht="15.75" hidden="false" customHeight="false" outlineLevel="0" collapsed="false">
      <c r="C608" s="14"/>
      <c r="D608" s="14"/>
      <c r="E608" s="14"/>
      <c r="F608" s="14"/>
      <c r="G608" s="14"/>
      <c r="H608" s="14"/>
    </row>
    <row r="609" customFormat="false" ht="15.75" hidden="false" customHeight="false" outlineLevel="0" collapsed="false">
      <c r="C609" s="14"/>
      <c r="D609" s="14"/>
      <c r="E609" s="14"/>
      <c r="F609" s="14"/>
      <c r="G609" s="14"/>
      <c r="H609" s="14"/>
    </row>
    <row r="610" customFormat="false" ht="15.75" hidden="false" customHeight="false" outlineLevel="0" collapsed="false">
      <c r="C610" s="14"/>
      <c r="D610" s="14"/>
      <c r="E610" s="14"/>
      <c r="F610" s="14"/>
      <c r="G610" s="14"/>
      <c r="H610" s="14"/>
    </row>
    <row r="611" customFormat="false" ht="15.75" hidden="false" customHeight="false" outlineLevel="0" collapsed="false">
      <c r="C611" s="14"/>
      <c r="D611" s="14"/>
      <c r="E611" s="14"/>
      <c r="F611" s="14"/>
      <c r="G611" s="14"/>
      <c r="H611" s="14"/>
    </row>
    <row r="612" customFormat="false" ht="15.75" hidden="false" customHeight="false" outlineLevel="0" collapsed="false">
      <c r="C612" s="14"/>
      <c r="D612" s="14"/>
      <c r="E612" s="14"/>
      <c r="F612" s="14"/>
      <c r="G612" s="14"/>
      <c r="H612" s="14"/>
    </row>
    <row r="613" customFormat="false" ht="15.75" hidden="false" customHeight="false" outlineLevel="0" collapsed="false">
      <c r="C613" s="14"/>
      <c r="D613" s="14"/>
      <c r="E613" s="14"/>
      <c r="F613" s="14"/>
      <c r="G613" s="14"/>
      <c r="H613" s="14"/>
    </row>
    <row r="614" customFormat="false" ht="15.75" hidden="false" customHeight="false" outlineLevel="0" collapsed="false">
      <c r="C614" s="14"/>
      <c r="D614" s="14"/>
      <c r="E614" s="14"/>
      <c r="F614" s="14"/>
      <c r="G614" s="14"/>
      <c r="H614" s="14"/>
    </row>
    <row r="615" customFormat="false" ht="15.75" hidden="false" customHeight="false" outlineLevel="0" collapsed="false">
      <c r="C615" s="14"/>
      <c r="D615" s="14"/>
      <c r="E615" s="14"/>
      <c r="F615" s="14"/>
      <c r="G615" s="14"/>
      <c r="H615" s="14"/>
    </row>
    <row r="616" customFormat="false" ht="15.75" hidden="false" customHeight="false" outlineLevel="0" collapsed="false">
      <c r="C616" s="14"/>
      <c r="D616" s="14"/>
      <c r="E616" s="14"/>
      <c r="F616" s="14"/>
      <c r="G616" s="14"/>
      <c r="H616" s="14"/>
    </row>
    <row r="617" customFormat="false" ht="15.75" hidden="false" customHeight="false" outlineLevel="0" collapsed="false">
      <c r="C617" s="14"/>
      <c r="D617" s="14"/>
      <c r="E617" s="14"/>
      <c r="F617" s="14"/>
      <c r="G617" s="14"/>
      <c r="H617" s="14"/>
    </row>
    <row r="618" customFormat="false" ht="15.75" hidden="false" customHeight="false" outlineLevel="0" collapsed="false">
      <c r="C618" s="14"/>
      <c r="D618" s="14"/>
      <c r="E618" s="14"/>
      <c r="F618" s="14"/>
      <c r="G618" s="14"/>
      <c r="H618" s="14"/>
    </row>
    <row r="619" customFormat="false" ht="15.75" hidden="false" customHeight="false" outlineLevel="0" collapsed="false">
      <c r="C619" s="14"/>
      <c r="D619" s="14"/>
      <c r="E619" s="14"/>
      <c r="F619" s="14"/>
      <c r="G619" s="14"/>
      <c r="H619" s="14"/>
    </row>
    <row r="620" customFormat="false" ht="15.75" hidden="false" customHeight="false" outlineLevel="0" collapsed="false">
      <c r="C620" s="14"/>
      <c r="D620" s="14"/>
      <c r="E620" s="14"/>
      <c r="F620" s="14"/>
      <c r="G620" s="14"/>
      <c r="H620" s="14"/>
    </row>
    <row r="621" customFormat="false" ht="15.75" hidden="false" customHeight="false" outlineLevel="0" collapsed="false">
      <c r="C621" s="14"/>
      <c r="D621" s="14"/>
      <c r="E621" s="14"/>
      <c r="F621" s="14"/>
      <c r="G621" s="14"/>
      <c r="H621" s="14"/>
    </row>
    <row r="622" customFormat="false" ht="15.75" hidden="false" customHeight="false" outlineLevel="0" collapsed="false">
      <c r="C622" s="14"/>
      <c r="D622" s="14"/>
      <c r="E622" s="14"/>
      <c r="F622" s="14"/>
      <c r="G622" s="14"/>
      <c r="H622" s="14"/>
    </row>
    <row r="623" customFormat="false" ht="15.75" hidden="false" customHeight="false" outlineLevel="0" collapsed="false">
      <c r="C623" s="14"/>
      <c r="D623" s="14"/>
      <c r="E623" s="14"/>
      <c r="F623" s="14"/>
      <c r="G623" s="14"/>
      <c r="H623" s="14"/>
    </row>
    <row r="624" customFormat="false" ht="15.75" hidden="false" customHeight="false" outlineLevel="0" collapsed="false">
      <c r="C624" s="14"/>
      <c r="D624" s="14"/>
      <c r="E624" s="14"/>
      <c r="F624" s="14"/>
      <c r="G624" s="14"/>
      <c r="H624" s="14"/>
    </row>
    <row r="625" customFormat="false" ht="15.75" hidden="false" customHeight="false" outlineLevel="0" collapsed="false">
      <c r="C625" s="14"/>
      <c r="D625" s="14"/>
      <c r="E625" s="14"/>
      <c r="F625" s="14"/>
      <c r="G625" s="14"/>
      <c r="H625" s="14"/>
    </row>
    <row r="626" customFormat="false" ht="15.75" hidden="false" customHeight="false" outlineLevel="0" collapsed="false">
      <c r="C626" s="14"/>
      <c r="D626" s="14"/>
      <c r="E626" s="14"/>
      <c r="F626" s="14"/>
      <c r="G626" s="14"/>
      <c r="H626" s="14"/>
    </row>
    <row r="627" customFormat="false" ht="15.75" hidden="false" customHeight="false" outlineLevel="0" collapsed="false">
      <c r="C627" s="14"/>
      <c r="D627" s="14"/>
      <c r="E627" s="14"/>
      <c r="F627" s="14"/>
      <c r="G627" s="14"/>
      <c r="H627" s="14"/>
    </row>
    <row r="628" customFormat="false" ht="15.75" hidden="false" customHeight="false" outlineLevel="0" collapsed="false">
      <c r="C628" s="14"/>
      <c r="D628" s="14"/>
      <c r="E628" s="14"/>
      <c r="F628" s="14"/>
      <c r="G628" s="14"/>
      <c r="H628" s="14"/>
    </row>
    <row r="629" customFormat="false" ht="15.75" hidden="false" customHeight="false" outlineLevel="0" collapsed="false">
      <c r="C629" s="14"/>
      <c r="D629" s="14"/>
      <c r="E629" s="14"/>
      <c r="F629" s="14"/>
      <c r="G629" s="14"/>
      <c r="H629" s="14"/>
    </row>
    <row r="630" customFormat="false" ht="15.75" hidden="false" customHeight="false" outlineLevel="0" collapsed="false">
      <c r="C630" s="14"/>
      <c r="D630" s="14"/>
      <c r="E630" s="14"/>
      <c r="F630" s="14"/>
      <c r="G630" s="14"/>
      <c r="H630" s="14"/>
    </row>
    <row r="631" customFormat="false" ht="15.75" hidden="false" customHeight="false" outlineLevel="0" collapsed="false">
      <c r="C631" s="14"/>
      <c r="D631" s="14"/>
      <c r="E631" s="14"/>
      <c r="F631" s="14"/>
      <c r="G631" s="14"/>
      <c r="H631" s="14"/>
    </row>
    <row r="632" customFormat="false" ht="15.75" hidden="false" customHeight="false" outlineLevel="0" collapsed="false">
      <c r="C632" s="14"/>
      <c r="D632" s="14"/>
      <c r="E632" s="14"/>
      <c r="F632" s="14"/>
      <c r="G632" s="14"/>
      <c r="H632" s="14"/>
    </row>
    <row r="633" customFormat="false" ht="15.75" hidden="false" customHeight="false" outlineLevel="0" collapsed="false">
      <c r="C633" s="14"/>
      <c r="D633" s="14"/>
      <c r="E633" s="14"/>
      <c r="F633" s="14"/>
      <c r="G633" s="14"/>
      <c r="H633" s="14"/>
    </row>
    <row r="634" customFormat="false" ht="15.75" hidden="false" customHeight="false" outlineLevel="0" collapsed="false">
      <c r="C634" s="14"/>
      <c r="D634" s="14"/>
      <c r="E634" s="14"/>
      <c r="F634" s="14"/>
      <c r="G634" s="14"/>
      <c r="H634" s="14"/>
    </row>
    <row r="635" customFormat="false" ht="15.75" hidden="false" customHeight="false" outlineLevel="0" collapsed="false">
      <c r="C635" s="14"/>
      <c r="D635" s="14"/>
      <c r="E635" s="14"/>
      <c r="F635" s="14"/>
      <c r="G635" s="14"/>
      <c r="H635" s="14"/>
    </row>
    <row r="636" customFormat="false" ht="15.75" hidden="false" customHeight="false" outlineLevel="0" collapsed="false">
      <c r="C636" s="14"/>
      <c r="D636" s="14"/>
      <c r="E636" s="14"/>
      <c r="F636" s="14"/>
      <c r="G636" s="14"/>
      <c r="H636" s="14"/>
    </row>
    <row r="637" customFormat="false" ht="15.75" hidden="false" customHeight="false" outlineLevel="0" collapsed="false">
      <c r="C637" s="14"/>
      <c r="D637" s="14"/>
      <c r="E637" s="14"/>
      <c r="F637" s="14"/>
      <c r="G637" s="14"/>
      <c r="H637" s="14"/>
    </row>
    <row r="638" customFormat="false" ht="15.75" hidden="false" customHeight="false" outlineLevel="0" collapsed="false">
      <c r="C638" s="14"/>
      <c r="D638" s="14"/>
      <c r="E638" s="14"/>
      <c r="F638" s="14"/>
      <c r="G638" s="14"/>
      <c r="H638" s="14"/>
    </row>
    <row r="639" customFormat="false" ht="15.75" hidden="false" customHeight="false" outlineLevel="0" collapsed="false">
      <c r="C639" s="14"/>
      <c r="D639" s="14"/>
      <c r="E639" s="14"/>
      <c r="F639" s="14"/>
      <c r="G639" s="14"/>
      <c r="H639" s="14"/>
    </row>
    <row r="640" customFormat="false" ht="15.75" hidden="false" customHeight="false" outlineLevel="0" collapsed="false">
      <c r="C640" s="14"/>
      <c r="D640" s="14"/>
      <c r="E640" s="14"/>
      <c r="F640" s="14"/>
      <c r="G640" s="14"/>
      <c r="H640" s="14"/>
    </row>
    <row r="641" customFormat="false" ht="15.75" hidden="false" customHeight="false" outlineLevel="0" collapsed="false">
      <c r="C641" s="14"/>
      <c r="D641" s="14"/>
      <c r="E641" s="14"/>
      <c r="F641" s="14"/>
      <c r="G641" s="14"/>
      <c r="H641" s="14"/>
    </row>
    <row r="642" customFormat="false" ht="15.75" hidden="false" customHeight="false" outlineLevel="0" collapsed="false">
      <c r="C642" s="14"/>
      <c r="D642" s="14"/>
      <c r="E642" s="14"/>
      <c r="F642" s="14"/>
      <c r="G642" s="14"/>
      <c r="H642" s="14"/>
    </row>
    <row r="643" customFormat="false" ht="15.75" hidden="false" customHeight="false" outlineLevel="0" collapsed="false">
      <c r="C643" s="14"/>
      <c r="D643" s="14"/>
      <c r="E643" s="14"/>
      <c r="F643" s="14"/>
      <c r="G643" s="14"/>
      <c r="H643" s="14"/>
    </row>
    <row r="644" customFormat="false" ht="15.75" hidden="false" customHeight="false" outlineLevel="0" collapsed="false">
      <c r="C644" s="14"/>
      <c r="D644" s="14"/>
      <c r="E644" s="14"/>
      <c r="F644" s="14"/>
      <c r="G644" s="14"/>
      <c r="H644" s="14"/>
    </row>
    <row r="645" customFormat="false" ht="15.75" hidden="false" customHeight="false" outlineLevel="0" collapsed="false">
      <c r="C645" s="14"/>
      <c r="D645" s="14"/>
      <c r="E645" s="14"/>
      <c r="F645" s="14"/>
      <c r="G645" s="14"/>
      <c r="H645" s="14"/>
    </row>
    <row r="646" customFormat="false" ht="15.75" hidden="false" customHeight="false" outlineLevel="0" collapsed="false">
      <c r="C646" s="14"/>
      <c r="D646" s="14"/>
      <c r="E646" s="14"/>
      <c r="F646" s="14"/>
      <c r="G646" s="14"/>
      <c r="H646" s="14"/>
    </row>
    <row r="647" customFormat="false" ht="15.75" hidden="false" customHeight="false" outlineLevel="0" collapsed="false">
      <c r="C647" s="14"/>
      <c r="D647" s="14"/>
      <c r="E647" s="14"/>
      <c r="F647" s="14"/>
      <c r="G647" s="14"/>
      <c r="H647" s="14"/>
    </row>
    <row r="648" customFormat="false" ht="15.75" hidden="false" customHeight="false" outlineLevel="0" collapsed="false">
      <c r="C648" s="14"/>
      <c r="D648" s="14"/>
      <c r="E648" s="14"/>
      <c r="F648" s="14"/>
      <c r="G648" s="14"/>
      <c r="H648" s="14"/>
    </row>
    <row r="649" customFormat="false" ht="15.75" hidden="false" customHeight="false" outlineLevel="0" collapsed="false">
      <c r="C649" s="14"/>
      <c r="D649" s="14"/>
      <c r="E649" s="14"/>
      <c r="F649" s="14"/>
      <c r="G649" s="14"/>
      <c r="H649" s="14"/>
    </row>
    <row r="650" customFormat="false" ht="15.75" hidden="false" customHeight="false" outlineLevel="0" collapsed="false">
      <c r="C650" s="14"/>
      <c r="D650" s="14"/>
      <c r="E650" s="14"/>
      <c r="F650" s="14"/>
      <c r="G650" s="14"/>
      <c r="H650" s="14"/>
    </row>
    <row r="651" customFormat="false" ht="15.75" hidden="false" customHeight="false" outlineLevel="0" collapsed="false">
      <c r="C651" s="14"/>
      <c r="D651" s="14"/>
      <c r="E651" s="14"/>
      <c r="F651" s="14"/>
      <c r="G651" s="14"/>
      <c r="H651" s="14"/>
    </row>
    <row r="652" customFormat="false" ht="15.75" hidden="false" customHeight="false" outlineLevel="0" collapsed="false">
      <c r="C652" s="14"/>
      <c r="D652" s="14"/>
      <c r="E652" s="14"/>
      <c r="F652" s="14"/>
      <c r="G652" s="14"/>
      <c r="H652" s="14"/>
    </row>
    <row r="653" customFormat="false" ht="15.75" hidden="false" customHeight="false" outlineLevel="0" collapsed="false">
      <c r="C653" s="14"/>
      <c r="D653" s="14"/>
      <c r="E653" s="14"/>
      <c r="F653" s="14"/>
      <c r="G653" s="14"/>
      <c r="H653" s="14"/>
    </row>
    <row r="654" customFormat="false" ht="15.75" hidden="false" customHeight="false" outlineLevel="0" collapsed="false">
      <c r="C654" s="14"/>
      <c r="D654" s="14"/>
      <c r="E654" s="14"/>
      <c r="F654" s="14"/>
      <c r="G654" s="14"/>
      <c r="H654" s="14"/>
    </row>
    <row r="655" customFormat="false" ht="15.75" hidden="false" customHeight="false" outlineLevel="0" collapsed="false">
      <c r="C655" s="14"/>
      <c r="D655" s="14"/>
      <c r="E655" s="14"/>
      <c r="F655" s="14"/>
      <c r="G655" s="14"/>
      <c r="H655" s="14"/>
    </row>
    <row r="656" customFormat="false" ht="15.75" hidden="false" customHeight="false" outlineLevel="0" collapsed="false">
      <c r="C656" s="14"/>
      <c r="D656" s="14"/>
      <c r="E656" s="14"/>
      <c r="F656" s="14"/>
      <c r="G656" s="14"/>
      <c r="H656" s="14"/>
    </row>
    <row r="657" customFormat="false" ht="15.75" hidden="false" customHeight="false" outlineLevel="0" collapsed="false">
      <c r="C657" s="14"/>
      <c r="D657" s="14"/>
      <c r="E657" s="14"/>
      <c r="F657" s="14"/>
      <c r="G657" s="14"/>
      <c r="H657" s="14"/>
    </row>
    <row r="658" customFormat="false" ht="15.75" hidden="false" customHeight="false" outlineLevel="0" collapsed="false">
      <c r="C658" s="14"/>
      <c r="D658" s="14"/>
      <c r="E658" s="14"/>
      <c r="F658" s="14"/>
      <c r="G658" s="14"/>
      <c r="H658" s="14"/>
    </row>
    <row r="659" customFormat="false" ht="15.75" hidden="false" customHeight="false" outlineLevel="0" collapsed="false">
      <c r="C659" s="14"/>
      <c r="D659" s="14"/>
      <c r="E659" s="14"/>
      <c r="F659" s="14"/>
      <c r="G659" s="14"/>
      <c r="H659" s="14"/>
    </row>
    <row r="660" customFormat="false" ht="15.75" hidden="false" customHeight="false" outlineLevel="0" collapsed="false">
      <c r="C660" s="14"/>
      <c r="D660" s="14"/>
      <c r="E660" s="14"/>
      <c r="F660" s="14"/>
      <c r="G660" s="14"/>
      <c r="H660" s="14"/>
    </row>
    <row r="661" customFormat="false" ht="15.75" hidden="false" customHeight="false" outlineLevel="0" collapsed="false">
      <c r="C661" s="14"/>
      <c r="D661" s="14"/>
      <c r="E661" s="14"/>
      <c r="F661" s="14"/>
      <c r="G661" s="14"/>
      <c r="H661" s="14"/>
    </row>
    <row r="662" customFormat="false" ht="15.75" hidden="false" customHeight="false" outlineLevel="0" collapsed="false">
      <c r="C662" s="14"/>
      <c r="D662" s="14"/>
      <c r="E662" s="14"/>
      <c r="F662" s="14"/>
      <c r="G662" s="14"/>
      <c r="H662" s="14"/>
    </row>
    <row r="663" customFormat="false" ht="15.75" hidden="false" customHeight="false" outlineLevel="0" collapsed="false">
      <c r="C663" s="14"/>
      <c r="D663" s="14"/>
      <c r="E663" s="14"/>
      <c r="F663" s="14"/>
      <c r="G663" s="14"/>
      <c r="H663" s="14"/>
    </row>
    <row r="664" customFormat="false" ht="15.75" hidden="false" customHeight="false" outlineLevel="0" collapsed="false">
      <c r="C664" s="14"/>
      <c r="D664" s="14"/>
      <c r="E664" s="14"/>
      <c r="F664" s="14"/>
      <c r="G664" s="14"/>
      <c r="H664" s="14"/>
    </row>
    <row r="665" customFormat="false" ht="15.75" hidden="false" customHeight="false" outlineLevel="0" collapsed="false">
      <c r="C665" s="14"/>
      <c r="D665" s="14"/>
      <c r="E665" s="14"/>
      <c r="F665" s="14"/>
      <c r="G665" s="14"/>
      <c r="H665" s="14"/>
    </row>
    <row r="666" customFormat="false" ht="15.75" hidden="false" customHeight="false" outlineLevel="0" collapsed="false">
      <c r="C666" s="14"/>
      <c r="D666" s="14"/>
      <c r="E666" s="14"/>
      <c r="F666" s="14"/>
      <c r="G666" s="14"/>
      <c r="H666" s="14"/>
    </row>
    <row r="667" customFormat="false" ht="15.75" hidden="false" customHeight="false" outlineLevel="0" collapsed="false">
      <c r="C667" s="14"/>
      <c r="D667" s="14"/>
      <c r="E667" s="14"/>
      <c r="F667" s="14"/>
      <c r="G667" s="14"/>
      <c r="H667" s="14"/>
    </row>
    <row r="668" customFormat="false" ht="15.75" hidden="false" customHeight="false" outlineLevel="0" collapsed="false">
      <c r="C668" s="14"/>
      <c r="D668" s="14"/>
      <c r="E668" s="14"/>
      <c r="F668" s="14"/>
      <c r="G668" s="14"/>
      <c r="H668" s="14"/>
    </row>
    <row r="669" customFormat="false" ht="15.75" hidden="false" customHeight="false" outlineLevel="0" collapsed="false">
      <c r="C669" s="14"/>
      <c r="D669" s="14"/>
      <c r="E669" s="14"/>
      <c r="F669" s="14"/>
      <c r="G669" s="14"/>
      <c r="H669" s="14"/>
    </row>
    <row r="670" customFormat="false" ht="15.75" hidden="false" customHeight="false" outlineLevel="0" collapsed="false">
      <c r="C670" s="14"/>
      <c r="D670" s="14"/>
      <c r="E670" s="14"/>
      <c r="F670" s="14"/>
      <c r="G670" s="14"/>
      <c r="H670" s="14"/>
    </row>
    <row r="671" customFormat="false" ht="15.75" hidden="false" customHeight="false" outlineLevel="0" collapsed="false">
      <c r="C671" s="14"/>
      <c r="D671" s="14"/>
      <c r="E671" s="14"/>
      <c r="F671" s="14"/>
      <c r="G671" s="14"/>
      <c r="H671" s="14"/>
    </row>
    <row r="672" customFormat="false" ht="15.75" hidden="false" customHeight="false" outlineLevel="0" collapsed="false">
      <c r="C672" s="14"/>
      <c r="D672" s="14"/>
      <c r="E672" s="14"/>
      <c r="F672" s="14"/>
      <c r="G672" s="14"/>
      <c r="H672" s="14"/>
    </row>
    <row r="673" customFormat="false" ht="15.75" hidden="false" customHeight="false" outlineLevel="0" collapsed="false">
      <c r="C673" s="14"/>
      <c r="D673" s="14"/>
      <c r="E673" s="14"/>
      <c r="F673" s="14"/>
      <c r="G673" s="14"/>
      <c r="H673" s="14"/>
    </row>
    <row r="674" customFormat="false" ht="15.75" hidden="false" customHeight="false" outlineLevel="0" collapsed="false">
      <c r="C674" s="14"/>
      <c r="D674" s="14"/>
      <c r="E674" s="14"/>
      <c r="F674" s="14"/>
      <c r="G674" s="14"/>
      <c r="H674" s="14"/>
    </row>
    <row r="675" customFormat="false" ht="15.75" hidden="false" customHeight="false" outlineLevel="0" collapsed="false">
      <c r="C675" s="14"/>
      <c r="D675" s="14"/>
      <c r="E675" s="14"/>
      <c r="F675" s="14"/>
      <c r="G675" s="14"/>
      <c r="H675" s="14"/>
    </row>
    <row r="676" customFormat="false" ht="15.75" hidden="false" customHeight="false" outlineLevel="0" collapsed="false">
      <c r="C676" s="14"/>
      <c r="D676" s="14"/>
      <c r="E676" s="14"/>
      <c r="F676" s="14"/>
      <c r="G676" s="14"/>
      <c r="H676" s="14"/>
    </row>
    <row r="677" customFormat="false" ht="15.75" hidden="false" customHeight="false" outlineLevel="0" collapsed="false">
      <c r="C677" s="14"/>
      <c r="D677" s="14"/>
      <c r="E677" s="14"/>
      <c r="F677" s="14"/>
      <c r="G677" s="14"/>
      <c r="H677" s="14"/>
    </row>
    <row r="678" customFormat="false" ht="15.75" hidden="false" customHeight="false" outlineLevel="0" collapsed="false">
      <c r="C678" s="14"/>
      <c r="D678" s="14"/>
      <c r="E678" s="14"/>
      <c r="F678" s="14"/>
      <c r="G678" s="14"/>
      <c r="H678" s="14"/>
    </row>
    <row r="679" customFormat="false" ht="15.75" hidden="false" customHeight="false" outlineLevel="0" collapsed="false">
      <c r="C679" s="14"/>
      <c r="D679" s="14"/>
      <c r="E679" s="14"/>
      <c r="F679" s="14"/>
      <c r="G679" s="14"/>
      <c r="H679" s="14"/>
    </row>
    <row r="680" customFormat="false" ht="15.75" hidden="false" customHeight="false" outlineLevel="0" collapsed="false">
      <c r="C680" s="14"/>
      <c r="D680" s="14"/>
      <c r="E680" s="14"/>
      <c r="F680" s="14"/>
      <c r="G680" s="14"/>
      <c r="H680" s="14"/>
    </row>
    <row r="681" customFormat="false" ht="15.75" hidden="false" customHeight="false" outlineLevel="0" collapsed="false">
      <c r="C681" s="14"/>
      <c r="D681" s="14"/>
      <c r="E681" s="14"/>
      <c r="F681" s="14"/>
      <c r="G681" s="14"/>
      <c r="H681" s="14"/>
    </row>
    <row r="682" customFormat="false" ht="15.75" hidden="false" customHeight="false" outlineLevel="0" collapsed="false">
      <c r="C682" s="14"/>
      <c r="D682" s="14"/>
      <c r="E682" s="14"/>
      <c r="F682" s="14"/>
      <c r="G682" s="14"/>
      <c r="H682" s="14"/>
    </row>
    <row r="683" customFormat="false" ht="15.75" hidden="false" customHeight="false" outlineLevel="0" collapsed="false">
      <c r="C683" s="14"/>
      <c r="D683" s="14"/>
      <c r="E683" s="14"/>
      <c r="F683" s="14"/>
      <c r="G683" s="14"/>
      <c r="H683" s="14"/>
    </row>
    <row r="684" customFormat="false" ht="15.75" hidden="false" customHeight="false" outlineLevel="0" collapsed="false">
      <c r="C684" s="14"/>
      <c r="D684" s="14"/>
      <c r="E684" s="14"/>
      <c r="F684" s="14"/>
      <c r="G684" s="14"/>
      <c r="H684" s="14"/>
    </row>
    <row r="685" customFormat="false" ht="15.75" hidden="false" customHeight="false" outlineLevel="0" collapsed="false">
      <c r="C685" s="14"/>
      <c r="D685" s="14"/>
      <c r="E685" s="14"/>
      <c r="F685" s="14"/>
      <c r="G685" s="14"/>
      <c r="H685" s="14"/>
    </row>
    <row r="686" customFormat="false" ht="15.75" hidden="false" customHeight="false" outlineLevel="0" collapsed="false">
      <c r="C686" s="14"/>
      <c r="D686" s="14"/>
      <c r="E686" s="14"/>
      <c r="F686" s="14"/>
      <c r="G686" s="14"/>
      <c r="H686" s="14"/>
    </row>
    <row r="687" customFormat="false" ht="15.75" hidden="false" customHeight="false" outlineLevel="0" collapsed="false">
      <c r="C687" s="14"/>
      <c r="D687" s="14"/>
      <c r="E687" s="14"/>
      <c r="F687" s="14"/>
      <c r="G687" s="14"/>
      <c r="H687" s="14"/>
    </row>
    <row r="688" customFormat="false" ht="15.75" hidden="false" customHeight="false" outlineLevel="0" collapsed="false">
      <c r="C688" s="14"/>
      <c r="D688" s="14"/>
      <c r="E688" s="14"/>
      <c r="F688" s="14"/>
      <c r="G688" s="14"/>
      <c r="H688" s="14"/>
    </row>
    <row r="689" customFormat="false" ht="15.75" hidden="false" customHeight="false" outlineLevel="0" collapsed="false">
      <c r="C689" s="14"/>
      <c r="D689" s="14"/>
      <c r="E689" s="14"/>
      <c r="F689" s="14"/>
      <c r="G689" s="14"/>
      <c r="H689" s="14"/>
    </row>
    <row r="690" customFormat="false" ht="15.75" hidden="false" customHeight="false" outlineLevel="0" collapsed="false">
      <c r="C690" s="14"/>
      <c r="D690" s="14"/>
      <c r="E690" s="14"/>
      <c r="F690" s="14"/>
      <c r="G690" s="14"/>
      <c r="H690" s="14"/>
    </row>
    <row r="691" customFormat="false" ht="15.75" hidden="false" customHeight="false" outlineLevel="0" collapsed="false">
      <c r="C691" s="14"/>
      <c r="D691" s="14"/>
      <c r="E691" s="14"/>
      <c r="F691" s="14"/>
      <c r="G691" s="14"/>
      <c r="H691" s="14"/>
    </row>
    <row r="692" customFormat="false" ht="15.75" hidden="false" customHeight="false" outlineLevel="0" collapsed="false">
      <c r="C692" s="14"/>
      <c r="D692" s="14"/>
      <c r="E692" s="14"/>
      <c r="F692" s="14"/>
      <c r="G692" s="14"/>
      <c r="H692" s="14"/>
    </row>
    <row r="693" customFormat="false" ht="15.75" hidden="false" customHeight="false" outlineLevel="0" collapsed="false">
      <c r="C693" s="14"/>
      <c r="D693" s="14"/>
      <c r="E693" s="14"/>
      <c r="F693" s="14"/>
      <c r="G693" s="14"/>
      <c r="H693" s="14"/>
    </row>
    <row r="694" customFormat="false" ht="15.75" hidden="false" customHeight="false" outlineLevel="0" collapsed="false">
      <c r="C694" s="14"/>
      <c r="D694" s="14"/>
      <c r="E694" s="14"/>
      <c r="F694" s="14"/>
      <c r="G694" s="14"/>
      <c r="H694" s="14"/>
    </row>
    <row r="695" customFormat="false" ht="15.75" hidden="false" customHeight="false" outlineLevel="0" collapsed="false">
      <c r="C695" s="14"/>
      <c r="D695" s="14"/>
      <c r="E695" s="14"/>
      <c r="F695" s="14"/>
      <c r="G695" s="14"/>
      <c r="H695" s="14"/>
    </row>
    <row r="696" customFormat="false" ht="15.75" hidden="false" customHeight="false" outlineLevel="0" collapsed="false">
      <c r="C696" s="14"/>
      <c r="D696" s="14"/>
      <c r="E696" s="14"/>
      <c r="F696" s="14"/>
      <c r="G696" s="14"/>
      <c r="H696" s="14"/>
    </row>
    <row r="697" customFormat="false" ht="15.75" hidden="false" customHeight="false" outlineLevel="0" collapsed="false">
      <c r="C697" s="14"/>
      <c r="D697" s="14"/>
      <c r="E697" s="14"/>
      <c r="F697" s="14"/>
      <c r="G697" s="14"/>
      <c r="H697" s="14"/>
    </row>
    <row r="698" customFormat="false" ht="15.75" hidden="false" customHeight="false" outlineLevel="0" collapsed="false">
      <c r="C698" s="14"/>
      <c r="D698" s="14"/>
      <c r="E698" s="14"/>
      <c r="F698" s="14"/>
      <c r="G698" s="14"/>
      <c r="H698" s="14"/>
    </row>
    <row r="699" customFormat="false" ht="15.75" hidden="false" customHeight="false" outlineLevel="0" collapsed="false">
      <c r="C699" s="14"/>
      <c r="D699" s="14"/>
      <c r="E699" s="14"/>
      <c r="F699" s="14"/>
      <c r="G699" s="14"/>
      <c r="H699" s="14"/>
    </row>
    <row r="700" customFormat="false" ht="15.75" hidden="false" customHeight="false" outlineLevel="0" collapsed="false">
      <c r="C700" s="14"/>
      <c r="D700" s="14"/>
      <c r="E700" s="14"/>
      <c r="F700" s="14"/>
      <c r="G700" s="14"/>
      <c r="H700" s="14"/>
    </row>
    <row r="701" customFormat="false" ht="15.75" hidden="false" customHeight="false" outlineLevel="0" collapsed="false">
      <c r="C701" s="14"/>
      <c r="D701" s="14"/>
      <c r="E701" s="14"/>
      <c r="F701" s="14"/>
      <c r="G701" s="14"/>
      <c r="H701" s="14"/>
    </row>
    <row r="702" customFormat="false" ht="15.75" hidden="false" customHeight="false" outlineLevel="0" collapsed="false">
      <c r="C702" s="14"/>
      <c r="D702" s="14"/>
      <c r="E702" s="14"/>
      <c r="F702" s="14"/>
      <c r="G702" s="14"/>
      <c r="H702" s="14"/>
    </row>
    <row r="703" customFormat="false" ht="15.75" hidden="false" customHeight="false" outlineLevel="0" collapsed="false">
      <c r="C703" s="14"/>
      <c r="D703" s="14"/>
      <c r="E703" s="14"/>
      <c r="F703" s="14"/>
      <c r="G703" s="14"/>
      <c r="H703" s="14"/>
    </row>
    <row r="704" customFormat="false" ht="15.75" hidden="false" customHeight="false" outlineLevel="0" collapsed="false">
      <c r="C704" s="14"/>
      <c r="D704" s="14"/>
      <c r="E704" s="14"/>
      <c r="F704" s="14"/>
      <c r="G704" s="14"/>
      <c r="H704" s="14"/>
    </row>
    <row r="705" customFormat="false" ht="15.75" hidden="false" customHeight="false" outlineLevel="0" collapsed="false">
      <c r="C705" s="14"/>
      <c r="D705" s="14"/>
      <c r="E705" s="14"/>
      <c r="F705" s="14"/>
      <c r="G705" s="14"/>
      <c r="H705" s="14"/>
    </row>
    <row r="706" customFormat="false" ht="15.75" hidden="false" customHeight="false" outlineLevel="0" collapsed="false">
      <c r="C706" s="14"/>
      <c r="D706" s="14"/>
      <c r="E706" s="14"/>
      <c r="F706" s="14"/>
      <c r="G706" s="14"/>
      <c r="H706" s="14"/>
    </row>
    <row r="707" customFormat="false" ht="15.75" hidden="false" customHeight="false" outlineLevel="0" collapsed="false">
      <c r="C707" s="14"/>
      <c r="D707" s="14"/>
      <c r="E707" s="14"/>
      <c r="F707" s="14"/>
      <c r="G707" s="14"/>
      <c r="H707" s="14"/>
    </row>
    <row r="708" customFormat="false" ht="15.75" hidden="false" customHeight="false" outlineLevel="0" collapsed="false">
      <c r="C708" s="14"/>
      <c r="D708" s="14"/>
      <c r="E708" s="14"/>
      <c r="F708" s="14"/>
      <c r="G708" s="14"/>
      <c r="H708" s="14"/>
    </row>
    <row r="709" customFormat="false" ht="15.75" hidden="false" customHeight="false" outlineLevel="0" collapsed="false">
      <c r="C709" s="14"/>
      <c r="D709" s="14"/>
      <c r="E709" s="14"/>
      <c r="F709" s="14"/>
      <c r="G709" s="14"/>
      <c r="H709" s="14"/>
    </row>
    <row r="710" customFormat="false" ht="15.75" hidden="false" customHeight="false" outlineLevel="0" collapsed="false">
      <c r="C710" s="14"/>
      <c r="D710" s="14"/>
      <c r="E710" s="14"/>
      <c r="F710" s="14"/>
      <c r="G710" s="14"/>
      <c r="H710" s="14"/>
    </row>
    <row r="711" customFormat="false" ht="15.75" hidden="false" customHeight="false" outlineLevel="0" collapsed="false">
      <c r="C711" s="14"/>
      <c r="D711" s="14"/>
      <c r="E711" s="14"/>
      <c r="F711" s="14"/>
      <c r="G711" s="14"/>
      <c r="H711" s="14"/>
    </row>
    <row r="712" customFormat="false" ht="15.75" hidden="false" customHeight="false" outlineLevel="0" collapsed="false">
      <c r="C712" s="14"/>
      <c r="D712" s="14"/>
      <c r="E712" s="14"/>
      <c r="F712" s="14"/>
      <c r="G712" s="14"/>
      <c r="H712" s="14"/>
    </row>
    <row r="713" customFormat="false" ht="15.75" hidden="false" customHeight="false" outlineLevel="0" collapsed="false">
      <c r="C713" s="14"/>
      <c r="D713" s="14"/>
      <c r="E713" s="14"/>
      <c r="F713" s="14"/>
      <c r="G713" s="14"/>
      <c r="H713" s="14"/>
    </row>
    <row r="714" customFormat="false" ht="15.75" hidden="false" customHeight="false" outlineLevel="0" collapsed="false">
      <c r="C714" s="14"/>
      <c r="D714" s="14"/>
      <c r="E714" s="14"/>
      <c r="F714" s="14"/>
      <c r="G714" s="14"/>
      <c r="H714" s="14"/>
    </row>
    <row r="715" customFormat="false" ht="15.75" hidden="false" customHeight="false" outlineLevel="0" collapsed="false">
      <c r="C715" s="14"/>
      <c r="D715" s="14"/>
      <c r="E715" s="14"/>
      <c r="F715" s="14"/>
      <c r="G715" s="14"/>
      <c r="H715" s="14"/>
    </row>
    <row r="716" customFormat="false" ht="15.75" hidden="false" customHeight="false" outlineLevel="0" collapsed="false">
      <c r="C716" s="14"/>
      <c r="D716" s="14"/>
      <c r="E716" s="14"/>
      <c r="F716" s="14"/>
      <c r="G716" s="14"/>
      <c r="H716" s="14"/>
    </row>
    <row r="717" customFormat="false" ht="15.75" hidden="false" customHeight="false" outlineLevel="0" collapsed="false">
      <c r="C717" s="14"/>
      <c r="D717" s="14"/>
      <c r="E717" s="14"/>
      <c r="F717" s="14"/>
      <c r="G717" s="14"/>
      <c r="H717" s="14"/>
    </row>
    <row r="718" customFormat="false" ht="15.75" hidden="false" customHeight="false" outlineLevel="0" collapsed="false">
      <c r="C718" s="14"/>
      <c r="D718" s="14"/>
      <c r="E718" s="14"/>
      <c r="F718" s="14"/>
      <c r="G718" s="14"/>
      <c r="H718" s="14"/>
    </row>
    <row r="719" customFormat="false" ht="15.75" hidden="false" customHeight="false" outlineLevel="0" collapsed="false">
      <c r="C719" s="14"/>
      <c r="D719" s="14"/>
      <c r="E719" s="14"/>
      <c r="F719" s="14"/>
      <c r="G719" s="14"/>
      <c r="H719" s="14"/>
    </row>
    <row r="720" customFormat="false" ht="15.75" hidden="false" customHeight="false" outlineLevel="0" collapsed="false">
      <c r="C720" s="14"/>
      <c r="D720" s="14"/>
      <c r="E720" s="14"/>
      <c r="F720" s="14"/>
      <c r="G720" s="14"/>
      <c r="H720" s="14"/>
    </row>
    <row r="721" customFormat="false" ht="15.75" hidden="false" customHeight="false" outlineLevel="0" collapsed="false">
      <c r="C721" s="14"/>
      <c r="D721" s="14"/>
      <c r="E721" s="14"/>
      <c r="F721" s="14"/>
      <c r="G721" s="14"/>
      <c r="H721" s="14"/>
    </row>
    <row r="722" customFormat="false" ht="15.75" hidden="false" customHeight="false" outlineLevel="0" collapsed="false">
      <c r="C722" s="14"/>
      <c r="D722" s="14"/>
      <c r="E722" s="14"/>
      <c r="F722" s="14"/>
      <c r="G722" s="14"/>
      <c r="H722" s="14"/>
    </row>
    <row r="723" customFormat="false" ht="15.75" hidden="false" customHeight="false" outlineLevel="0" collapsed="false">
      <c r="C723" s="14"/>
      <c r="D723" s="14"/>
      <c r="E723" s="14"/>
      <c r="F723" s="14"/>
      <c r="G723" s="14"/>
      <c r="H723" s="14"/>
    </row>
    <row r="724" customFormat="false" ht="15.75" hidden="false" customHeight="false" outlineLevel="0" collapsed="false">
      <c r="C724" s="14"/>
      <c r="D724" s="14"/>
      <c r="E724" s="14"/>
      <c r="F724" s="14"/>
      <c r="G724" s="14"/>
      <c r="H724" s="14"/>
    </row>
    <row r="725" customFormat="false" ht="15.75" hidden="false" customHeight="false" outlineLevel="0" collapsed="false">
      <c r="C725" s="14"/>
      <c r="D725" s="14"/>
      <c r="E725" s="14"/>
      <c r="F725" s="14"/>
      <c r="G725" s="14"/>
      <c r="H725" s="14"/>
    </row>
    <row r="726" customFormat="false" ht="15.75" hidden="false" customHeight="false" outlineLevel="0" collapsed="false">
      <c r="C726" s="14"/>
      <c r="D726" s="14"/>
      <c r="E726" s="14"/>
      <c r="F726" s="14"/>
      <c r="G726" s="14"/>
      <c r="H726" s="14"/>
    </row>
    <row r="727" customFormat="false" ht="15.75" hidden="false" customHeight="false" outlineLevel="0" collapsed="false">
      <c r="C727" s="14"/>
      <c r="D727" s="14"/>
      <c r="E727" s="14"/>
      <c r="F727" s="14"/>
      <c r="G727" s="14"/>
      <c r="H727" s="14"/>
    </row>
    <row r="728" customFormat="false" ht="15.75" hidden="false" customHeight="false" outlineLevel="0" collapsed="false">
      <c r="C728" s="14"/>
      <c r="D728" s="14"/>
      <c r="E728" s="14"/>
      <c r="F728" s="14"/>
      <c r="G728" s="14"/>
      <c r="H728" s="14"/>
    </row>
    <row r="729" customFormat="false" ht="15.75" hidden="false" customHeight="false" outlineLevel="0" collapsed="false">
      <c r="C729" s="14"/>
      <c r="D729" s="14"/>
      <c r="E729" s="14"/>
      <c r="F729" s="14"/>
      <c r="G729" s="14"/>
      <c r="H729" s="14"/>
    </row>
    <row r="730" customFormat="false" ht="15.75" hidden="false" customHeight="false" outlineLevel="0" collapsed="false">
      <c r="C730" s="14"/>
      <c r="D730" s="14"/>
      <c r="E730" s="14"/>
      <c r="F730" s="14"/>
      <c r="G730" s="14"/>
      <c r="H730" s="14"/>
    </row>
    <row r="731" customFormat="false" ht="15.75" hidden="false" customHeight="false" outlineLevel="0" collapsed="false">
      <c r="C731" s="14"/>
      <c r="D731" s="14"/>
      <c r="E731" s="14"/>
      <c r="F731" s="14"/>
      <c r="G731" s="14"/>
      <c r="H731" s="14"/>
    </row>
    <row r="732" customFormat="false" ht="15.75" hidden="false" customHeight="false" outlineLevel="0" collapsed="false">
      <c r="C732" s="14"/>
      <c r="D732" s="14"/>
      <c r="E732" s="14"/>
      <c r="F732" s="14"/>
      <c r="G732" s="14"/>
      <c r="H732" s="14"/>
    </row>
    <row r="733" customFormat="false" ht="15.75" hidden="false" customHeight="false" outlineLevel="0" collapsed="false">
      <c r="C733" s="14"/>
      <c r="D733" s="14"/>
      <c r="E733" s="14"/>
      <c r="F733" s="14"/>
      <c r="G733" s="14"/>
      <c r="H733" s="14"/>
    </row>
    <row r="734" customFormat="false" ht="15.75" hidden="false" customHeight="false" outlineLevel="0" collapsed="false">
      <c r="C734" s="14"/>
      <c r="D734" s="14"/>
      <c r="E734" s="14"/>
      <c r="F734" s="14"/>
      <c r="G734" s="14"/>
      <c r="H734" s="14"/>
    </row>
    <row r="735" customFormat="false" ht="15.75" hidden="false" customHeight="false" outlineLevel="0" collapsed="false">
      <c r="C735" s="14"/>
      <c r="D735" s="14"/>
      <c r="E735" s="14"/>
      <c r="F735" s="14"/>
      <c r="G735" s="14"/>
      <c r="H735" s="14"/>
    </row>
    <row r="736" customFormat="false" ht="15.75" hidden="false" customHeight="false" outlineLevel="0" collapsed="false">
      <c r="C736" s="14"/>
      <c r="D736" s="14"/>
      <c r="E736" s="14"/>
      <c r="F736" s="14"/>
      <c r="G736" s="14"/>
      <c r="H736" s="14"/>
    </row>
    <row r="737" customFormat="false" ht="15.75" hidden="false" customHeight="false" outlineLevel="0" collapsed="false">
      <c r="C737" s="14"/>
      <c r="D737" s="14"/>
      <c r="E737" s="14"/>
      <c r="F737" s="14"/>
      <c r="G737" s="14"/>
      <c r="H737" s="14"/>
    </row>
    <row r="738" customFormat="false" ht="15.75" hidden="false" customHeight="false" outlineLevel="0" collapsed="false">
      <c r="C738" s="14"/>
      <c r="D738" s="14"/>
      <c r="E738" s="14"/>
      <c r="F738" s="14"/>
      <c r="G738" s="14"/>
      <c r="H738" s="14"/>
    </row>
    <row r="739" customFormat="false" ht="15.75" hidden="false" customHeight="false" outlineLevel="0" collapsed="false">
      <c r="C739" s="14"/>
      <c r="D739" s="14"/>
      <c r="E739" s="14"/>
      <c r="F739" s="14"/>
      <c r="G739" s="14"/>
      <c r="H739" s="14"/>
    </row>
    <row r="740" customFormat="false" ht="15.75" hidden="false" customHeight="false" outlineLevel="0" collapsed="false">
      <c r="C740" s="14"/>
      <c r="D740" s="14"/>
      <c r="E740" s="14"/>
      <c r="F740" s="14"/>
      <c r="G740" s="14"/>
      <c r="H740" s="14"/>
    </row>
    <row r="741" customFormat="false" ht="15.75" hidden="false" customHeight="false" outlineLevel="0" collapsed="false">
      <c r="C741" s="14"/>
      <c r="D741" s="14"/>
      <c r="E741" s="14"/>
      <c r="F741" s="14"/>
      <c r="G741" s="14"/>
      <c r="H741" s="14"/>
    </row>
    <row r="742" customFormat="false" ht="15.75" hidden="false" customHeight="false" outlineLevel="0" collapsed="false">
      <c r="C742" s="14"/>
      <c r="D742" s="14"/>
      <c r="E742" s="14"/>
      <c r="F742" s="14"/>
      <c r="G742" s="14"/>
      <c r="H742" s="14"/>
    </row>
    <row r="743" customFormat="false" ht="15.75" hidden="false" customHeight="false" outlineLevel="0" collapsed="false">
      <c r="C743" s="14"/>
      <c r="D743" s="14"/>
      <c r="E743" s="14"/>
      <c r="F743" s="14"/>
      <c r="G743" s="14"/>
      <c r="H743" s="14"/>
    </row>
    <row r="744" customFormat="false" ht="15.75" hidden="false" customHeight="false" outlineLevel="0" collapsed="false">
      <c r="C744" s="14"/>
      <c r="D744" s="14"/>
      <c r="E744" s="14"/>
      <c r="F744" s="14"/>
      <c r="G744" s="14"/>
      <c r="H744" s="14"/>
    </row>
    <row r="745" customFormat="false" ht="15.75" hidden="false" customHeight="false" outlineLevel="0" collapsed="false">
      <c r="C745" s="14"/>
      <c r="D745" s="14"/>
      <c r="E745" s="14"/>
      <c r="F745" s="14"/>
      <c r="G745" s="14"/>
      <c r="H745" s="14"/>
    </row>
    <row r="746" customFormat="false" ht="15.75" hidden="false" customHeight="false" outlineLevel="0" collapsed="false">
      <c r="C746" s="14"/>
      <c r="D746" s="14"/>
      <c r="E746" s="14"/>
      <c r="F746" s="14"/>
      <c r="G746" s="14"/>
      <c r="H746" s="14"/>
    </row>
    <row r="747" customFormat="false" ht="15.75" hidden="false" customHeight="false" outlineLevel="0" collapsed="false">
      <c r="C747" s="14"/>
      <c r="D747" s="14"/>
      <c r="E747" s="14"/>
      <c r="F747" s="14"/>
      <c r="G747" s="14"/>
      <c r="H747" s="14"/>
    </row>
    <row r="748" customFormat="false" ht="15.75" hidden="false" customHeight="false" outlineLevel="0" collapsed="false">
      <c r="C748" s="14"/>
      <c r="D748" s="14"/>
      <c r="E748" s="14"/>
      <c r="F748" s="14"/>
      <c r="G748" s="14"/>
      <c r="H748" s="14"/>
    </row>
    <row r="749" customFormat="false" ht="15.75" hidden="false" customHeight="false" outlineLevel="0" collapsed="false">
      <c r="C749" s="14"/>
      <c r="D749" s="14"/>
      <c r="E749" s="14"/>
      <c r="F749" s="14"/>
      <c r="G749" s="14"/>
      <c r="H749" s="14"/>
    </row>
    <row r="750" customFormat="false" ht="15.75" hidden="false" customHeight="false" outlineLevel="0" collapsed="false">
      <c r="C750" s="14"/>
      <c r="D750" s="14"/>
      <c r="E750" s="14"/>
      <c r="F750" s="14"/>
      <c r="G750" s="14"/>
      <c r="H750" s="14"/>
    </row>
    <row r="751" customFormat="false" ht="15.75" hidden="false" customHeight="false" outlineLevel="0" collapsed="false">
      <c r="C751" s="14"/>
      <c r="D751" s="14"/>
      <c r="E751" s="14"/>
      <c r="F751" s="14"/>
      <c r="G751" s="14"/>
      <c r="H751" s="14"/>
    </row>
    <row r="752" customFormat="false" ht="15.75" hidden="false" customHeight="false" outlineLevel="0" collapsed="false">
      <c r="C752" s="14"/>
      <c r="D752" s="14"/>
      <c r="E752" s="14"/>
      <c r="F752" s="14"/>
      <c r="G752" s="14"/>
      <c r="H752" s="14"/>
    </row>
    <row r="753" customFormat="false" ht="15.75" hidden="false" customHeight="false" outlineLevel="0" collapsed="false">
      <c r="C753" s="14"/>
      <c r="D753" s="14"/>
      <c r="E753" s="14"/>
      <c r="F753" s="14"/>
      <c r="G753" s="14"/>
      <c r="H753" s="14"/>
    </row>
    <row r="754" customFormat="false" ht="15.75" hidden="false" customHeight="false" outlineLevel="0" collapsed="false">
      <c r="C754" s="14"/>
      <c r="D754" s="14"/>
      <c r="E754" s="14"/>
      <c r="F754" s="14"/>
      <c r="G754" s="14"/>
      <c r="H754" s="14"/>
    </row>
    <row r="755" customFormat="false" ht="15.75" hidden="false" customHeight="false" outlineLevel="0" collapsed="false">
      <c r="C755" s="14"/>
      <c r="D755" s="14"/>
      <c r="E755" s="14"/>
      <c r="F755" s="14"/>
      <c r="G755" s="14"/>
      <c r="H755" s="14"/>
    </row>
    <row r="756" customFormat="false" ht="15.75" hidden="false" customHeight="false" outlineLevel="0" collapsed="false">
      <c r="C756" s="14"/>
      <c r="D756" s="14"/>
      <c r="E756" s="14"/>
      <c r="F756" s="14"/>
      <c r="G756" s="14"/>
      <c r="H756" s="14"/>
    </row>
    <row r="757" customFormat="false" ht="15.75" hidden="false" customHeight="false" outlineLevel="0" collapsed="false">
      <c r="C757" s="14"/>
      <c r="D757" s="14"/>
      <c r="E757" s="14"/>
      <c r="F757" s="14"/>
      <c r="G757" s="14"/>
      <c r="H757" s="14"/>
    </row>
    <row r="758" customFormat="false" ht="15.75" hidden="false" customHeight="false" outlineLevel="0" collapsed="false">
      <c r="C758" s="14"/>
      <c r="D758" s="14"/>
      <c r="E758" s="14"/>
      <c r="F758" s="14"/>
      <c r="G758" s="14"/>
      <c r="H758" s="14"/>
    </row>
    <row r="759" customFormat="false" ht="15.75" hidden="false" customHeight="false" outlineLevel="0" collapsed="false">
      <c r="C759" s="14"/>
      <c r="D759" s="14"/>
      <c r="E759" s="14"/>
      <c r="F759" s="14"/>
      <c r="G759" s="14"/>
      <c r="H759" s="14"/>
    </row>
    <row r="760" customFormat="false" ht="15.75" hidden="false" customHeight="false" outlineLevel="0" collapsed="false">
      <c r="C760" s="14"/>
      <c r="D760" s="14"/>
      <c r="E760" s="14"/>
      <c r="F760" s="14"/>
      <c r="G760" s="14"/>
      <c r="H760" s="14"/>
    </row>
    <row r="761" customFormat="false" ht="15.75" hidden="false" customHeight="false" outlineLevel="0" collapsed="false">
      <c r="C761" s="14"/>
      <c r="D761" s="14"/>
      <c r="E761" s="14"/>
      <c r="F761" s="14"/>
      <c r="G761" s="14"/>
      <c r="H761" s="14"/>
    </row>
    <row r="762" customFormat="false" ht="15.75" hidden="false" customHeight="false" outlineLevel="0" collapsed="false">
      <c r="C762" s="14"/>
      <c r="D762" s="14"/>
      <c r="E762" s="14"/>
      <c r="F762" s="14"/>
      <c r="G762" s="14"/>
      <c r="H762" s="14"/>
    </row>
    <row r="763" customFormat="false" ht="15.75" hidden="false" customHeight="false" outlineLevel="0" collapsed="false">
      <c r="C763" s="14"/>
      <c r="D763" s="14"/>
      <c r="E763" s="14"/>
      <c r="F763" s="14"/>
      <c r="G763" s="14"/>
      <c r="H763" s="14"/>
    </row>
    <row r="764" customFormat="false" ht="15.75" hidden="false" customHeight="false" outlineLevel="0" collapsed="false">
      <c r="C764" s="14"/>
      <c r="D764" s="14"/>
      <c r="E764" s="14"/>
      <c r="F764" s="14"/>
      <c r="G764" s="14"/>
      <c r="H764" s="14"/>
    </row>
    <row r="765" customFormat="false" ht="15.75" hidden="false" customHeight="false" outlineLevel="0" collapsed="false">
      <c r="C765" s="14"/>
      <c r="D765" s="14"/>
      <c r="E765" s="14"/>
      <c r="F765" s="14"/>
      <c r="G765" s="14"/>
      <c r="H765" s="14"/>
    </row>
    <row r="766" customFormat="false" ht="15.75" hidden="false" customHeight="false" outlineLevel="0" collapsed="false">
      <c r="C766" s="14"/>
      <c r="D766" s="14"/>
      <c r="E766" s="14"/>
      <c r="F766" s="14"/>
      <c r="G766" s="14"/>
      <c r="H766" s="14"/>
    </row>
    <row r="767" customFormat="false" ht="15.75" hidden="false" customHeight="false" outlineLevel="0" collapsed="false">
      <c r="C767" s="14"/>
      <c r="D767" s="14"/>
      <c r="E767" s="14"/>
      <c r="F767" s="14"/>
      <c r="G767" s="14"/>
      <c r="H767" s="14"/>
    </row>
    <row r="768" customFormat="false" ht="15.75" hidden="false" customHeight="false" outlineLevel="0" collapsed="false">
      <c r="C768" s="14"/>
      <c r="D768" s="14"/>
      <c r="E768" s="14"/>
      <c r="F768" s="14"/>
      <c r="G768" s="14"/>
      <c r="H768" s="14"/>
    </row>
    <row r="769" customFormat="false" ht="15.75" hidden="false" customHeight="false" outlineLevel="0" collapsed="false">
      <c r="C769" s="14"/>
      <c r="D769" s="14"/>
      <c r="E769" s="14"/>
      <c r="F769" s="14"/>
      <c r="G769" s="14"/>
      <c r="H769" s="14"/>
    </row>
    <row r="770" customFormat="false" ht="15.75" hidden="false" customHeight="false" outlineLevel="0" collapsed="false">
      <c r="C770" s="14"/>
      <c r="D770" s="14"/>
      <c r="E770" s="14"/>
      <c r="F770" s="14"/>
      <c r="G770" s="14"/>
      <c r="H770" s="14"/>
    </row>
    <row r="771" customFormat="false" ht="15.75" hidden="false" customHeight="false" outlineLevel="0" collapsed="false">
      <c r="C771" s="14"/>
      <c r="D771" s="14"/>
      <c r="E771" s="14"/>
      <c r="F771" s="14"/>
      <c r="G771" s="14"/>
      <c r="H771" s="14"/>
    </row>
    <row r="772" customFormat="false" ht="15.75" hidden="false" customHeight="false" outlineLevel="0" collapsed="false">
      <c r="C772" s="14"/>
      <c r="D772" s="14"/>
      <c r="E772" s="14"/>
      <c r="F772" s="14"/>
      <c r="G772" s="14"/>
      <c r="H772" s="14"/>
    </row>
    <row r="773" customFormat="false" ht="15.75" hidden="false" customHeight="false" outlineLevel="0" collapsed="false">
      <c r="C773" s="14"/>
      <c r="D773" s="14"/>
      <c r="E773" s="14"/>
      <c r="F773" s="14"/>
      <c r="G773" s="14"/>
      <c r="H773" s="14"/>
    </row>
    <row r="774" customFormat="false" ht="15.75" hidden="false" customHeight="false" outlineLevel="0" collapsed="false">
      <c r="C774" s="14"/>
      <c r="D774" s="14"/>
      <c r="E774" s="14"/>
      <c r="F774" s="14"/>
      <c r="G774" s="14"/>
      <c r="H774" s="14"/>
    </row>
    <row r="775" customFormat="false" ht="15.75" hidden="false" customHeight="false" outlineLevel="0" collapsed="false">
      <c r="C775" s="14"/>
      <c r="D775" s="14"/>
      <c r="E775" s="14"/>
      <c r="F775" s="14"/>
      <c r="G775" s="14"/>
      <c r="H775" s="14"/>
    </row>
    <row r="776" customFormat="false" ht="15.75" hidden="false" customHeight="false" outlineLevel="0" collapsed="false">
      <c r="C776" s="14"/>
      <c r="D776" s="14"/>
      <c r="E776" s="14"/>
      <c r="F776" s="14"/>
      <c r="G776" s="14"/>
      <c r="H776" s="14"/>
    </row>
    <row r="777" customFormat="false" ht="15.75" hidden="false" customHeight="false" outlineLevel="0" collapsed="false">
      <c r="C777" s="14"/>
      <c r="D777" s="14"/>
      <c r="E777" s="14"/>
      <c r="F777" s="14"/>
      <c r="G777" s="14"/>
      <c r="H777" s="14"/>
    </row>
    <row r="778" customFormat="false" ht="15.75" hidden="false" customHeight="false" outlineLevel="0" collapsed="false">
      <c r="C778" s="14"/>
      <c r="D778" s="14"/>
      <c r="E778" s="14"/>
      <c r="F778" s="14"/>
      <c r="G778" s="14"/>
      <c r="H778" s="14"/>
    </row>
    <row r="779" customFormat="false" ht="15.75" hidden="false" customHeight="false" outlineLevel="0" collapsed="false">
      <c r="C779" s="14"/>
      <c r="D779" s="14"/>
      <c r="E779" s="14"/>
      <c r="F779" s="14"/>
      <c r="G779" s="14"/>
      <c r="H779" s="14"/>
    </row>
    <row r="780" customFormat="false" ht="15.75" hidden="false" customHeight="false" outlineLevel="0" collapsed="false">
      <c r="C780" s="14"/>
      <c r="D780" s="14"/>
      <c r="E780" s="14"/>
      <c r="F780" s="14"/>
      <c r="G780" s="14"/>
      <c r="H780" s="14"/>
    </row>
    <row r="781" customFormat="false" ht="15.75" hidden="false" customHeight="false" outlineLevel="0" collapsed="false">
      <c r="C781" s="14"/>
      <c r="D781" s="14"/>
      <c r="E781" s="14"/>
      <c r="F781" s="14"/>
      <c r="G781" s="14"/>
      <c r="H781" s="14"/>
    </row>
    <row r="782" customFormat="false" ht="15.75" hidden="false" customHeight="false" outlineLevel="0" collapsed="false">
      <c r="C782" s="14"/>
      <c r="D782" s="14"/>
      <c r="E782" s="14"/>
      <c r="F782" s="14"/>
      <c r="G782" s="14"/>
      <c r="H782" s="14"/>
    </row>
    <row r="783" customFormat="false" ht="15.75" hidden="false" customHeight="false" outlineLevel="0" collapsed="false">
      <c r="C783" s="14"/>
      <c r="D783" s="14"/>
      <c r="E783" s="14"/>
      <c r="F783" s="14"/>
      <c r="G783" s="14"/>
      <c r="H783" s="14"/>
    </row>
    <row r="784" customFormat="false" ht="15.75" hidden="false" customHeight="false" outlineLevel="0" collapsed="false">
      <c r="C784" s="14"/>
      <c r="D784" s="14"/>
      <c r="E784" s="14"/>
      <c r="F784" s="14"/>
      <c r="G784" s="14"/>
      <c r="H784" s="14"/>
    </row>
    <row r="785" customFormat="false" ht="15.75" hidden="false" customHeight="false" outlineLevel="0" collapsed="false">
      <c r="C785" s="14"/>
      <c r="D785" s="14"/>
      <c r="E785" s="14"/>
      <c r="F785" s="14"/>
      <c r="G785" s="14"/>
      <c r="H785" s="14"/>
    </row>
    <row r="786" customFormat="false" ht="15.75" hidden="false" customHeight="false" outlineLevel="0" collapsed="false">
      <c r="C786" s="14"/>
      <c r="D786" s="14"/>
      <c r="E786" s="14"/>
      <c r="F786" s="14"/>
      <c r="G786" s="14"/>
      <c r="H786" s="14"/>
    </row>
    <row r="787" customFormat="false" ht="15.75" hidden="false" customHeight="false" outlineLevel="0" collapsed="false">
      <c r="C787" s="14"/>
      <c r="D787" s="14"/>
      <c r="E787" s="14"/>
      <c r="F787" s="14"/>
      <c r="G787" s="14"/>
      <c r="H787" s="14"/>
    </row>
    <row r="788" customFormat="false" ht="15.75" hidden="false" customHeight="false" outlineLevel="0" collapsed="false">
      <c r="C788" s="14"/>
      <c r="D788" s="14"/>
      <c r="E788" s="14"/>
      <c r="F788" s="14"/>
      <c r="G788" s="14"/>
      <c r="H788" s="14"/>
    </row>
    <row r="789" customFormat="false" ht="15.75" hidden="false" customHeight="false" outlineLevel="0" collapsed="false">
      <c r="C789" s="14"/>
      <c r="D789" s="14"/>
      <c r="E789" s="14"/>
      <c r="F789" s="14"/>
      <c r="G789" s="14"/>
      <c r="H789" s="14"/>
    </row>
    <row r="790" customFormat="false" ht="15.75" hidden="false" customHeight="false" outlineLevel="0" collapsed="false">
      <c r="C790" s="14"/>
      <c r="D790" s="14"/>
      <c r="E790" s="14"/>
      <c r="F790" s="14"/>
      <c r="G790" s="14"/>
      <c r="H790" s="14"/>
    </row>
    <row r="791" customFormat="false" ht="15.75" hidden="false" customHeight="false" outlineLevel="0" collapsed="false">
      <c r="C791" s="14"/>
      <c r="D791" s="14"/>
      <c r="E791" s="14"/>
      <c r="F791" s="14"/>
      <c r="G791" s="14"/>
      <c r="H791" s="14"/>
    </row>
    <row r="792" customFormat="false" ht="15.75" hidden="false" customHeight="false" outlineLevel="0" collapsed="false">
      <c r="C792" s="14"/>
      <c r="D792" s="14"/>
      <c r="E792" s="14"/>
      <c r="F792" s="14"/>
      <c r="G792" s="14"/>
      <c r="H792" s="14"/>
    </row>
    <row r="793" customFormat="false" ht="15.75" hidden="false" customHeight="false" outlineLevel="0" collapsed="false">
      <c r="C793" s="14"/>
      <c r="D793" s="14"/>
      <c r="E793" s="14"/>
      <c r="F793" s="14"/>
      <c r="G793" s="14"/>
      <c r="H793" s="14"/>
    </row>
    <row r="794" customFormat="false" ht="15.75" hidden="false" customHeight="false" outlineLevel="0" collapsed="false">
      <c r="C794" s="14"/>
      <c r="D794" s="14"/>
      <c r="E794" s="14"/>
      <c r="F794" s="14"/>
      <c r="G794" s="14"/>
      <c r="H794" s="14"/>
    </row>
    <row r="795" customFormat="false" ht="15.75" hidden="false" customHeight="false" outlineLevel="0" collapsed="false">
      <c r="C795" s="14"/>
      <c r="D795" s="14"/>
      <c r="E795" s="14"/>
      <c r="F795" s="14"/>
      <c r="G795" s="14"/>
      <c r="H795" s="14"/>
    </row>
    <row r="796" customFormat="false" ht="15.75" hidden="false" customHeight="false" outlineLevel="0" collapsed="false">
      <c r="C796" s="14"/>
      <c r="D796" s="14"/>
      <c r="E796" s="14"/>
      <c r="F796" s="14"/>
      <c r="G796" s="14"/>
      <c r="H796" s="14"/>
    </row>
    <row r="797" customFormat="false" ht="15.75" hidden="false" customHeight="false" outlineLevel="0" collapsed="false">
      <c r="C797" s="14"/>
      <c r="D797" s="14"/>
      <c r="E797" s="14"/>
      <c r="F797" s="14"/>
      <c r="G797" s="14"/>
      <c r="H797" s="14"/>
    </row>
    <row r="798" customFormat="false" ht="15.75" hidden="false" customHeight="false" outlineLevel="0" collapsed="false">
      <c r="C798" s="14"/>
      <c r="D798" s="14"/>
      <c r="E798" s="14"/>
      <c r="F798" s="14"/>
      <c r="G798" s="14"/>
      <c r="H798" s="14"/>
    </row>
    <row r="799" customFormat="false" ht="15.75" hidden="false" customHeight="false" outlineLevel="0" collapsed="false">
      <c r="C799" s="14"/>
      <c r="D799" s="14"/>
      <c r="E799" s="14"/>
      <c r="F799" s="14"/>
      <c r="G799" s="14"/>
      <c r="H799" s="14"/>
    </row>
    <row r="800" customFormat="false" ht="15.75" hidden="false" customHeight="false" outlineLevel="0" collapsed="false">
      <c r="C800" s="14"/>
      <c r="D800" s="14"/>
      <c r="E800" s="14"/>
      <c r="F800" s="14"/>
      <c r="G800" s="14"/>
      <c r="H800" s="14"/>
    </row>
    <row r="801" customFormat="false" ht="15.75" hidden="false" customHeight="false" outlineLevel="0" collapsed="false">
      <c r="C801" s="14"/>
      <c r="D801" s="14"/>
      <c r="E801" s="14"/>
      <c r="F801" s="14"/>
      <c r="G801" s="14"/>
      <c r="H801" s="14"/>
    </row>
    <row r="802" customFormat="false" ht="15.75" hidden="false" customHeight="false" outlineLevel="0" collapsed="false">
      <c r="C802" s="14"/>
      <c r="D802" s="14"/>
      <c r="E802" s="14"/>
      <c r="F802" s="14"/>
      <c r="G802" s="14"/>
      <c r="H802" s="14"/>
    </row>
    <row r="803" customFormat="false" ht="15.75" hidden="false" customHeight="false" outlineLevel="0" collapsed="false">
      <c r="C803" s="14"/>
      <c r="D803" s="14"/>
      <c r="E803" s="14"/>
      <c r="F803" s="14"/>
      <c r="G803" s="14"/>
      <c r="H803" s="14"/>
    </row>
    <row r="804" customFormat="false" ht="15.75" hidden="false" customHeight="false" outlineLevel="0" collapsed="false">
      <c r="C804" s="14"/>
      <c r="D804" s="14"/>
      <c r="E804" s="14"/>
      <c r="F804" s="14"/>
      <c r="G804" s="14"/>
      <c r="H804" s="14"/>
    </row>
    <row r="805" customFormat="false" ht="15.75" hidden="false" customHeight="false" outlineLevel="0" collapsed="false">
      <c r="C805" s="14"/>
      <c r="D805" s="14"/>
      <c r="E805" s="14"/>
      <c r="F805" s="14"/>
      <c r="G805" s="14"/>
      <c r="H805" s="14"/>
    </row>
    <row r="806" customFormat="false" ht="15.75" hidden="false" customHeight="false" outlineLevel="0" collapsed="false">
      <c r="C806" s="14"/>
      <c r="D806" s="14"/>
      <c r="E806" s="14"/>
      <c r="F806" s="14"/>
      <c r="G806" s="14"/>
      <c r="H806" s="14"/>
    </row>
    <row r="807" customFormat="false" ht="15.75" hidden="false" customHeight="false" outlineLevel="0" collapsed="false">
      <c r="C807" s="14"/>
      <c r="D807" s="14"/>
      <c r="E807" s="14"/>
      <c r="F807" s="14"/>
      <c r="G807" s="14"/>
      <c r="H807" s="14"/>
    </row>
    <row r="808" customFormat="false" ht="15.75" hidden="false" customHeight="false" outlineLevel="0" collapsed="false">
      <c r="C808" s="14"/>
      <c r="D808" s="14"/>
      <c r="E808" s="14"/>
      <c r="F808" s="14"/>
      <c r="G808" s="14"/>
      <c r="H808" s="14"/>
    </row>
    <row r="809" customFormat="false" ht="15.75" hidden="false" customHeight="false" outlineLevel="0" collapsed="false">
      <c r="C809" s="14"/>
      <c r="D809" s="14"/>
      <c r="E809" s="14"/>
      <c r="F809" s="14"/>
      <c r="G809" s="14"/>
      <c r="H809" s="14"/>
    </row>
    <row r="810" customFormat="false" ht="15.75" hidden="false" customHeight="false" outlineLevel="0" collapsed="false">
      <c r="C810" s="14"/>
      <c r="D810" s="14"/>
      <c r="E810" s="14"/>
      <c r="F810" s="14"/>
      <c r="G810" s="14"/>
      <c r="H810" s="14"/>
    </row>
    <row r="811" customFormat="false" ht="15.75" hidden="false" customHeight="false" outlineLevel="0" collapsed="false">
      <c r="C811" s="14"/>
      <c r="D811" s="14"/>
      <c r="E811" s="14"/>
      <c r="F811" s="14"/>
      <c r="G811" s="14"/>
      <c r="H811" s="14"/>
    </row>
    <row r="812" customFormat="false" ht="15.75" hidden="false" customHeight="false" outlineLevel="0" collapsed="false">
      <c r="C812" s="14"/>
      <c r="D812" s="14"/>
      <c r="E812" s="14"/>
      <c r="F812" s="14"/>
      <c r="G812" s="14"/>
      <c r="H812" s="14"/>
    </row>
    <row r="813" customFormat="false" ht="15.75" hidden="false" customHeight="false" outlineLevel="0" collapsed="false">
      <c r="C813" s="14"/>
      <c r="D813" s="14"/>
      <c r="E813" s="14"/>
      <c r="F813" s="14"/>
      <c r="G813" s="14"/>
      <c r="H813" s="14"/>
    </row>
    <row r="814" customFormat="false" ht="15.75" hidden="false" customHeight="false" outlineLevel="0" collapsed="false">
      <c r="C814" s="14"/>
      <c r="D814" s="14"/>
      <c r="E814" s="14"/>
      <c r="F814" s="14"/>
      <c r="G814" s="14"/>
      <c r="H814" s="14"/>
    </row>
    <row r="815" customFormat="false" ht="15.75" hidden="false" customHeight="false" outlineLevel="0" collapsed="false">
      <c r="C815" s="14"/>
      <c r="D815" s="14"/>
      <c r="E815" s="14"/>
      <c r="F815" s="14"/>
      <c r="G815" s="14"/>
      <c r="H815" s="14"/>
    </row>
    <row r="816" customFormat="false" ht="15.75" hidden="false" customHeight="false" outlineLevel="0" collapsed="false">
      <c r="C816" s="14"/>
      <c r="D816" s="14"/>
      <c r="E816" s="14"/>
      <c r="F816" s="14"/>
      <c r="G816" s="14"/>
      <c r="H816" s="14"/>
    </row>
    <row r="817" customFormat="false" ht="15.75" hidden="false" customHeight="false" outlineLevel="0" collapsed="false">
      <c r="C817" s="14"/>
      <c r="D817" s="14"/>
      <c r="E817" s="14"/>
      <c r="F817" s="14"/>
      <c r="G817" s="14"/>
      <c r="H817" s="14"/>
    </row>
    <row r="818" customFormat="false" ht="15.75" hidden="false" customHeight="false" outlineLevel="0" collapsed="false">
      <c r="C818" s="14"/>
      <c r="D818" s="14"/>
      <c r="E818" s="14"/>
      <c r="F818" s="14"/>
      <c r="G818" s="14"/>
      <c r="H818" s="14"/>
    </row>
    <row r="819" customFormat="false" ht="15.75" hidden="false" customHeight="false" outlineLevel="0" collapsed="false">
      <c r="C819" s="14"/>
      <c r="D819" s="14"/>
      <c r="E819" s="14"/>
      <c r="F819" s="14"/>
      <c r="G819" s="14"/>
      <c r="H819" s="14"/>
    </row>
    <row r="820" customFormat="false" ht="15.75" hidden="false" customHeight="false" outlineLevel="0" collapsed="false">
      <c r="C820" s="14"/>
      <c r="D820" s="14"/>
      <c r="E820" s="14"/>
      <c r="F820" s="14"/>
      <c r="G820" s="14"/>
      <c r="H820" s="14"/>
    </row>
    <row r="821" customFormat="false" ht="15.75" hidden="false" customHeight="false" outlineLevel="0" collapsed="false">
      <c r="C821" s="14"/>
      <c r="D821" s="14"/>
      <c r="E821" s="14"/>
      <c r="F821" s="14"/>
      <c r="G821" s="14"/>
      <c r="H821" s="14"/>
    </row>
    <row r="822" customFormat="false" ht="15.75" hidden="false" customHeight="false" outlineLevel="0" collapsed="false">
      <c r="C822" s="14"/>
      <c r="D822" s="14"/>
      <c r="E822" s="14"/>
      <c r="F822" s="14"/>
      <c r="G822" s="14"/>
      <c r="H822" s="14"/>
    </row>
    <row r="823" customFormat="false" ht="15.75" hidden="false" customHeight="false" outlineLevel="0" collapsed="false">
      <c r="C823" s="14"/>
      <c r="D823" s="14"/>
      <c r="E823" s="14"/>
      <c r="F823" s="14"/>
      <c r="G823" s="14"/>
      <c r="H823" s="14"/>
    </row>
    <row r="824" customFormat="false" ht="15.75" hidden="false" customHeight="false" outlineLevel="0" collapsed="false">
      <c r="C824" s="14"/>
      <c r="D824" s="14"/>
      <c r="E824" s="14"/>
      <c r="F824" s="14"/>
      <c r="G824" s="14"/>
      <c r="H824" s="14"/>
    </row>
    <row r="825" customFormat="false" ht="15.75" hidden="false" customHeight="false" outlineLevel="0" collapsed="false">
      <c r="C825" s="14"/>
      <c r="D825" s="14"/>
      <c r="E825" s="14"/>
      <c r="F825" s="14"/>
      <c r="G825" s="14"/>
      <c r="H825" s="14"/>
    </row>
    <row r="826" customFormat="false" ht="15.75" hidden="false" customHeight="false" outlineLevel="0" collapsed="false">
      <c r="C826" s="14"/>
      <c r="D826" s="14"/>
      <c r="E826" s="14"/>
      <c r="F826" s="14"/>
      <c r="G826" s="14"/>
      <c r="H826" s="14"/>
    </row>
    <row r="827" customFormat="false" ht="15.75" hidden="false" customHeight="false" outlineLevel="0" collapsed="false">
      <c r="C827" s="14"/>
      <c r="D827" s="14"/>
      <c r="E827" s="14"/>
      <c r="F827" s="14"/>
      <c r="G827" s="14"/>
      <c r="H827" s="14"/>
    </row>
    <row r="828" customFormat="false" ht="15.75" hidden="false" customHeight="false" outlineLevel="0" collapsed="false">
      <c r="C828" s="14"/>
      <c r="D828" s="14"/>
      <c r="E828" s="14"/>
      <c r="F828" s="14"/>
      <c r="G828" s="14"/>
      <c r="H828" s="14"/>
    </row>
    <row r="829" customFormat="false" ht="15.75" hidden="false" customHeight="false" outlineLevel="0" collapsed="false">
      <c r="C829" s="14"/>
      <c r="D829" s="14"/>
      <c r="E829" s="14"/>
      <c r="F829" s="14"/>
      <c r="G829" s="14"/>
      <c r="H829" s="14"/>
    </row>
    <row r="830" customFormat="false" ht="15.75" hidden="false" customHeight="false" outlineLevel="0" collapsed="false">
      <c r="C830" s="14"/>
      <c r="D830" s="14"/>
      <c r="E830" s="14"/>
      <c r="F830" s="14"/>
      <c r="G830" s="14"/>
      <c r="H830" s="14"/>
    </row>
    <row r="831" customFormat="false" ht="15.75" hidden="false" customHeight="false" outlineLevel="0" collapsed="false">
      <c r="C831" s="14"/>
      <c r="D831" s="14"/>
      <c r="E831" s="14"/>
      <c r="F831" s="14"/>
      <c r="G831" s="14"/>
      <c r="H831" s="14"/>
    </row>
    <row r="832" customFormat="false" ht="15.75" hidden="false" customHeight="false" outlineLevel="0" collapsed="false">
      <c r="C832" s="14"/>
      <c r="D832" s="14"/>
      <c r="E832" s="14"/>
      <c r="F832" s="14"/>
      <c r="G832" s="14"/>
      <c r="H832" s="14"/>
    </row>
    <row r="833" customFormat="false" ht="15.75" hidden="false" customHeight="false" outlineLevel="0" collapsed="false">
      <c r="C833" s="14"/>
      <c r="D833" s="14"/>
      <c r="E833" s="14"/>
      <c r="F833" s="14"/>
      <c r="G833" s="14"/>
      <c r="H833" s="14"/>
    </row>
    <row r="834" customFormat="false" ht="15.75" hidden="false" customHeight="false" outlineLevel="0" collapsed="false">
      <c r="C834" s="14"/>
      <c r="D834" s="14"/>
      <c r="E834" s="14"/>
      <c r="F834" s="14"/>
      <c r="G834" s="14"/>
      <c r="H834" s="14"/>
    </row>
    <row r="835" customFormat="false" ht="15.75" hidden="false" customHeight="false" outlineLevel="0" collapsed="false">
      <c r="C835" s="14"/>
      <c r="D835" s="14"/>
      <c r="E835" s="14"/>
      <c r="F835" s="14"/>
      <c r="G835" s="14"/>
      <c r="H835" s="14"/>
    </row>
    <row r="836" customFormat="false" ht="15.75" hidden="false" customHeight="false" outlineLevel="0" collapsed="false">
      <c r="C836" s="14"/>
      <c r="D836" s="14"/>
      <c r="E836" s="14"/>
      <c r="F836" s="14"/>
      <c r="G836" s="14"/>
      <c r="H836" s="14"/>
    </row>
    <row r="837" customFormat="false" ht="15.75" hidden="false" customHeight="false" outlineLevel="0" collapsed="false">
      <c r="C837" s="14"/>
      <c r="D837" s="14"/>
      <c r="E837" s="14"/>
      <c r="F837" s="14"/>
      <c r="G837" s="14"/>
      <c r="H837" s="14"/>
    </row>
    <row r="838" customFormat="false" ht="15.75" hidden="false" customHeight="false" outlineLevel="0" collapsed="false">
      <c r="C838" s="14"/>
      <c r="D838" s="14"/>
      <c r="E838" s="14"/>
      <c r="F838" s="14"/>
      <c r="G838" s="14"/>
      <c r="H838" s="14"/>
    </row>
    <row r="839" customFormat="false" ht="15.75" hidden="false" customHeight="false" outlineLevel="0" collapsed="false">
      <c r="C839" s="14"/>
      <c r="D839" s="14"/>
      <c r="E839" s="14"/>
      <c r="F839" s="14"/>
      <c r="G839" s="14"/>
      <c r="H839" s="14"/>
    </row>
    <row r="840" customFormat="false" ht="15.75" hidden="false" customHeight="false" outlineLevel="0" collapsed="false">
      <c r="C840" s="14"/>
      <c r="D840" s="14"/>
      <c r="E840" s="14"/>
      <c r="F840" s="14"/>
      <c r="G840" s="14"/>
      <c r="H840" s="14"/>
    </row>
    <row r="841" customFormat="false" ht="15.75" hidden="false" customHeight="false" outlineLevel="0" collapsed="false">
      <c r="C841" s="14"/>
      <c r="D841" s="14"/>
      <c r="E841" s="14"/>
      <c r="F841" s="14"/>
      <c r="G841" s="14"/>
      <c r="H841" s="14"/>
    </row>
    <row r="842" customFormat="false" ht="15.75" hidden="false" customHeight="false" outlineLevel="0" collapsed="false">
      <c r="C842" s="14"/>
      <c r="D842" s="14"/>
      <c r="E842" s="14"/>
      <c r="F842" s="14"/>
      <c r="G842" s="14"/>
      <c r="H842" s="14"/>
    </row>
    <row r="843" customFormat="false" ht="15.75" hidden="false" customHeight="false" outlineLevel="0" collapsed="false">
      <c r="C843" s="14"/>
      <c r="D843" s="14"/>
      <c r="E843" s="14"/>
      <c r="F843" s="14"/>
      <c r="G843" s="14"/>
      <c r="H843" s="14"/>
    </row>
    <row r="844" customFormat="false" ht="15.75" hidden="false" customHeight="false" outlineLevel="0" collapsed="false">
      <c r="C844" s="14"/>
      <c r="D844" s="14"/>
      <c r="E844" s="14"/>
      <c r="F844" s="14"/>
      <c r="G844" s="14"/>
      <c r="H844" s="14"/>
    </row>
    <row r="845" customFormat="false" ht="15.75" hidden="false" customHeight="false" outlineLevel="0" collapsed="false">
      <c r="C845" s="14"/>
      <c r="D845" s="14"/>
      <c r="E845" s="14"/>
      <c r="F845" s="14"/>
      <c r="G845" s="14"/>
      <c r="H845" s="14"/>
    </row>
    <row r="846" customFormat="false" ht="15.75" hidden="false" customHeight="false" outlineLevel="0" collapsed="false">
      <c r="C846" s="14"/>
      <c r="D846" s="14"/>
      <c r="E846" s="14"/>
      <c r="F846" s="14"/>
      <c r="G846" s="14"/>
      <c r="H846" s="14"/>
    </row>
    <row r="847" customFormat="false" ht="15.75" hidden="false" customHeight="false" outlineLevel="0" collapsed="false">
      <c r="C847" s="14"/>
      <c r="D847" s="14"/>
      <c r="E847" s="14"/>
      <c r="F847" s="14"/>
      <c r="G847" s="14"/>
      <c r="H847" s="14"/>
    </row>
    <row r="848" customFormat="false" ht="15.75" hidden="false" customHeight="false" outlineLevel="0" collapsed="false">
      <c r="C848" s="14"/>
      <c r="D848" s="14"/>
      <c r="E848" s="14"/>
      <c r="F848" s="14"/>
      <c r="G848" s="14"/>
      <c r="H848" s="14"/>
    </row>
    <row r="849" customFormat="false" ht="15.75" hidden="false" customHeight="false" outlineLevel="0" collapsed="false">
      <c r="C849" s="14"/>
      <c r="D849" s="14"/>
      <c r="E849" s="14"/>
      <c r="F849" s="14"/>
      <c r="G849" s="14"/>
      <c r="H849" s="14"/>
    </row>
    <row r="850" customFormat="false" ht="15.75" hidden="false" customHeight="false" outlineLevel="0" collapsed="false">
      <c r="C850" s="14"/>
      <c r="D850" s="14"/>
      <c r="E850" s="14"/>
      <c r="F850" s="14"/>
      <c r="G850" s="14"/>
      <c r="H850" s="14"/>
    </row>
    <row r="851" customFormat="false" ht="15.75" hidden="false" customHeight="false" outlineLevel="0" collapsed="false">
      <c r="C851" s="14"/>
      <c r="D851" s="14"/>
      <c r="E851" s="14"/>
      <c r="F851" s="14"/>
      <c r="G851" s="14"/>
      <c r="H851" s="14"/>
    </row>
    <row r="852" customFormat="false" ht="15.75" hidden="false" customHeight="false" outlineLevel="0" collapsed="false">
      <c r="C852" s="14"/>
      <c r="D852" s="14"/>
      <c r="E852" s="14"/>
      <c r="F852" s="14"/>
      <c r="G852" s="14"/>
      <c r="H852" s="14"/>
    </row>
    <row r="853" customFormat="false" ht="15.75" hidden="false" customHeight="false" outlineLevel="0" collapsed="false">
      <c r="C853" s="14"/>
      <c r="D853" s="14"/>
      <c r="E853" s="14"/>
      <c r="F853" s="14"/>
      <c r="G853" s="14"/>
      <c r="H853" s="14"/>
    </row>
    <row r="854" customFormat="false" ht="15.75" hidden="false" customHeight="false" outlineLevel="0" collapsed="false">
      <c r="C854" s="14"/>
      <c r="D854" s="14"/>
      <c r="E854" s="14"/>
      <c r="F854" s="14"/>
      <c r="G854" s="14"/>
      <c r="H854" s="14"/>
    </row>
    <row r="855" customFormat="false" ht="15.75" hidden="false" customHeight="false" outlineLevel="0" collapsed="false">
      <c r="C855" s="14"/>
      <c r="D855" s="14"/>
      <c r="E855" s="14"/>
      <c r="F855" s="14"/>
      <c r="G855" s="14"/>
      <c r="H855" s="14"/>
    </row>
    <row r="856" customFormat="false" ht="15.75" hidden="false" customHeight="false" outlineLevel="0" collapsed="false">
      <c r="C856" s="14"/>
      <c r="D856" s="14"/>
      <c r="E856" s="14"/>
      <c r="F856" s="14"/>
      <c r="G856" s="14"/>
      <c r="H856" s="14"/>
    </row>
    <row r="857" customFormat="false" ht="15.75" hidden="false" customHeight="false" outlineLevel="0" collapsed="false">
      <c r="C857" s="14"/>
      <c r="D857" s="14"/>
      <c r="E857" s="14"/>
      <c r="F857" s="14"/>
      <c r="G857" s="14"/>
      <c r="H857" s="14"/>
    </row>
    <row r="858" customFormat="false" ht="15.75" hidden="false" customHeight="false" outlineLevel="0" collapsed="false">
      <c r="C858" s="14"/>
      <c r="D858" s="14"/>
      <c r="E858" s="14"/>
      <c r="F858" s="14"/>
      <c r="G858" s="14"/>
      <c r="H858" s="14"/>
    </row>
    <row r="859" customFormat="false" ht="15.75" hidden="false" customHeight="false" outlineLevel="0" collapsed="false">
      <c r="C859" s="14"/>
      <c r="D859" s="14"/>
      <c r="E859" s="14"/>
      <c r="F859" s="14"/>
      <c r="G859" s="14"/>
      <c r="H859" s="14"/>
    </row>
    <row r="860" customFormat="false" ht="15.75" hidden="false" customHeight="false" outlineLevel="0" collapsed="false">
      <c r="C860" s="14"/>
      <c r="D860" s="14"/>
      <c r="E860" s="14"/>
      <c r="F860" s="14"/>
      <c r="G860" s="14"/>
      <c r="H860" s="14"/>
    </row>
    <row r="861" customFormat="false" ht="15.75" hidden="false" customHeight="false" outlineLevel="0" collapsed="false">
      <c r="C861" s="14"/>
      <c r="D861" s="14"/>
      <c r="E861" s="14"/>
      <c r="F861" s="14"/>
      <c r="G861" s="14"/>
      <c r="H861" s="14"/>
    </row>
    <row r="862" customFormat="false" ht="15.75" hidden="false" customHeight="false" outlineLevel="0" collapsed="false">
      <c r="C862" s="14"/>
      <c r="D862" s="14"/>
      <c r="E862" s="14"/>
      <c r="F862" s="14"/>
      <c r="G862" s="14"/>
      <c r="H862" s="14"/>
    </row>
    <row r="863" customFormat="false" ht="15.75" hidden="false" customHeight="false" outlineLevel="0" collapsed="false">
      <c r="C863" s="14"/>
      <c r="D863" s="14"/>
      <c r="E863" s="14"/>
      <c r="F863" s="14"/>
      <c r="G863" s="14"/>
      <c r="H863" s="14"/>
    </row>
    <row r="864" customFormat="false" ht="15.75" hidden="false" customHeight="false" outlineLevel="0" collapsed="false">
      <c r="C864" s="14"/>
      <c r="D864" s="14"/>
      <c r="E864" s="14"/>
      <c r="F864" s="14"/>
      <c r="G864" s="14"/>
      <c r="H864" s="14"/>
    </row>
    <row r="865" customFormat="false" ht="15.75" hidden="false" customHeight="false" outlineLevel="0" collapsed="false">
      <c r="C865" s="14"/>
      <c r="D865" s="14"/>
      <c r="E865" s="14"/>
      <c r="F865" s="14"/>
      <c r="G865" s="14"/>
      <c r="H865" s="14"/>
    </row>
    <row r="866" customFormat="false" ht="15.75" hidden="false" customHeight="false" outlineLevel="0" collapsed="false">
      <c r="C866" s="14"/>
      <c r="D866" s="14"/>
      <c r="E866" s="14"/>
      <c r="F866" s="14"/>
      <c r="G866" s="14"/>
      <c r="H866" s="14"/>
    </row>
    <row r="867" customFormat="false" ht="15.75" hidden="false" customHeight="false" outlineLevel="0" collapsed="false">
      <c r="C867" s="14"/>
      <c r="D867" s="14"/>
      <c r="E867" s="14"/>
      <c r="F867" s="14"/>
      <c r="G867" s="14"/>
      <c r="H867" s="14"/>
    </row>
    <row r="868" customFormat="false" ht="15.75" hidden="false" customHeight="false" outlineLevel="0" collapsed="false">
      <c r="C868" s="14"/>
      <c r="D868" s="14"/>
      <c r="E868" s="14"/>
      <c r="F868" s="14"/>
      <c r="G868" s="14"/>
      <c r="H868" s="14"/>
    </row>
    <row r="869" customFormat="false" ht="15.75" hidden="false" customHeight="false" outlineLevel="0" collapsed="false">
      <c r="C869" s="14"/>
      <c r="D869" s="14"/>
      <c r="E869" s="14"/>
      <c r="F869" s="14"/>
      <c r="G869" s="14"/>
      <c r="H869" s="14"/>
    </row>
    <row r="870" customFormat="false" ht="15.75" hidden="false" customHeight="false" outlineLevel="0" collapsed="false">
      <c r="C870" s="14"/>
      <c r="D870" s="14"/>
      <c r="E870" s="14"/>
      <c r="F870" s="14"/>
      <c r="G870" s="14"/>
      <c r="H870" s="14"/>
    </row>
    <row r="871" customFormat="false" ht="15.75" hidden="false" customHeight="false" outlineLevel="0" collapsed="false">
      <c r="C871" s="14"/>
      <c r="D871" s="14"/>
      <c r="E871" s="14"/>
      <c r="F871" s="14"/>
      <c r="G871" s="14"/>
      <c r="H871" s="14"/>
    </row>
    <row r="872" customFormat="false" ht="15.75" hidden="false" customHeight="false" outlineLevel="0" collapsed="false">
      <c r="C872" s="14"/>
      <c r="D872" s="14"/>
      <c r="E872" s="14"/>
      <c r="F872" s="14"/>
      <c r="G872" s="14"/>
      <c r="H872" s="14"/>
    </row>
    <row r="873" customFormat="false" ht="15.75" hidden="false" customHeight="false" outlineLevel="0" collapsed="false">
      <c r="C873" s="14"/>
      <c r="D873" s="14"/>
      <c r="E873" s="14"/>
      <c r="F873" s="14"/>
      <c r="G873" s="14"/>
      <c r="H873" s="14"/>
    </row>
    <row r="874" customFormat="false" ht="15.75" hidden="false" customHeight="false" outlineLevel="0" collapsed="false">
      <c r="C874" s="14"/>
      <c r="D874" s="14"/>
      <c r="E874" s="14"/>
      <c r="F874" s="14"/>
      <c r="G874" s="14"/>
      <c r="H874" s="14"/>
    </row>
    <row r="875" customFormat="false" ht="15.75" hidden="false" customHeight="false" outlineLevel="0" collapsed="false">
      <c r="C875" s="14"/>
      <c r="D875" s="14"/>
      <c r="E875" s="14"/>
      <c r="F875" s="14"/>
      <c r="G875" s="14"/>
      <c r="H875" s="14"/>
    </row>
    <row r="876" customFormat="false" ht="15.75" hidden="false" customHeight="false" outlineLevel="0" collapsed="false">
      <c r="C876" s="14"/>
      <c r="D876" s="14"/>
      <c r="E876" s="14"/>
      <c r="F876" s="14"/>
      <c r="G876" s="14"/>
      <c r="H876" s="14"/>
    </row>
    <row r="877" customFormat="false" ht="15.75" hidden="false" customHeight="false" outlineLevel="0" collapsed="false">
      <c r="C877" s="14"/>
      <c r="D877" s="14"/>
      <c r="E877" s="14"/>
      <c r="F877" s="14"/>
      <c r="G877" s="14"/>
      <c r="H877" s="14"/>
    </row>
    <row r="878" customFormat="false" ht="15.75" hidden="false" customHeight="false" outlineLevel="0" collapsed="false">
      <c r="C878" s="14"/>
      <c r="D878" s="14"/>
      <c r="E878" s="14"/>
      <c r="F878" s="14"/>
      <c r="G878" s="14"/>
      <c r="H878" s="14"/>
    </row>
    <row r="879" customFormat="false" ht="15.75" hidden="false" customHeight="false" outlineLevel="0" collapsed="false">
      <c r="C879" s="14"/>
      <c r="D879" s="14"/>
      <c r="E879" s="14"/>
      <c r="F879" s="14"/>
      <c r="G879" s="14"/>
      <c r="H879" s="14"/>
    </row>
    <row r="880" customFormat="false" ht="15.75" hidden="false" customHeight="false" outlineLevel="0" collapsed="false">
      <c r="C880" s="14"/>
      <c r="D880" s="14"/>
      <c r="E880" s="14"/>
      <c r="F880" s="14"/>
      <c r="G880" s="14"/>
      <c r="H880" s="14"/>
    </row>
    <row r="881" customFormat="false" ht="15.75" hidden="false" customHeight="false" outlineLevel="0" collapsed="false">
      <c r="C881" s="14"/>
      <c r="D881" s="14"/>
      <c r="E881" s="14"/>
      <c r="F881" s="14"/>
      <c r="G881" s="14"/>
      <c r="H881" s="14"/>
    </row>
    <row r="882" customFormat="false" ht="15.75" hidden="false" customHeight="false" outlineLevel="0" collapsed="false">
      <c r="C882" s="14"/>
      <c r="D882" s="14"/>
      <c r="E882" s="14"/>
      <c r="F882" s="14"/>
      <c r="G882" s="14"/>
      <c r="H882" s="14"/>
    </row>
    <row r="883" customFormat="false" ht="15.75" hidden="false" customHeight="false" outlineLevel="0" collapsed="false">
      <c r="C883" s="14"/>
      <c r="D883" s="14"/>
      <c r="E883" s="14"/>
      <c r="F883" s="14"/>
      <c r="G883" s="14"/>
      <c r="H883" s="14"/>
    </row>
    <row r="884" customFormat="false" ht="15.75" hidden="false" customHeight="false" outlineLevel="0" collapsed="false">
      <c r="C884" s="14"/>
      <c r="D884" s="14"/>
      <c r="E884" s="14"/>
      <c r="F884" s="14"/>
      <c r="G884" s="14"/>
      <c r="H884" s="14"/>
    </row>
    <row r="885" customFormat="false" ht="15.75" hidden="false" customHeight="false" outlineLevel="0" collapsed="false">
      <c r="C885" s="14"/>
      <c r="D885" s="14"/>
      <c r="E885" s="14"/>
      <c r="F885" s="14"/>
      <c r="G885" s="14"/>
      <c r="H885" s="14"/>
    </row>
    <row r="886" customFormat="false" ht="15.75" hidden="false" customHeight="false" outlineLevel="0" collapsed="false">
      <c r="C886" s="14"/>
      <c r="D886" s="14"/>
      <c r="E886" s="14"/>
      <c r="F886" s="14"/>
      <c r="G886" s="14"/>
      <c r="H886" s="14"/>
    </row>
    <row r="887" customFormat="false" ht="15.75" hidden="false" customHeight="false" outlineLevel="0" collapsed="false">
      <c r="C887" s="14"/>
      <c r="D887" s="14"/>
      <c r="E887" s="14"/>
      <c r="F887" s="14"/>
      <c r="G887" s="14"/>
      <c r="H887" s="14"/>
    </row>
    <row r="888" customFormat="false" ht="15.75" hidden="false" customHeight="false" outlineLevel="0" collapsed="false">
      <c r="C888" s="14"/>
      <c r="D888" s="14"/>
      <c r="E888" s="14"/>
      <c r="F888" s="14"/>
      <c r="G888" s="14"/>
      <c r="H888" s="14"/>
    </row>
    <row r="889" customFormat="false" ht="15.75" hidden="false" customHeight="false" outlineLevel="0" collapsed="false">
      <c r="C889" s="14"/>
      <c r="D889" s="14"/>
      <c r="E889" s="14"/>
      <c r="F889" s="14"/>
      <c r="G889" s="14"/>
      <c r="H889" s="14"/>
    </row>
    <row r="890" customFormat="false" ht="15.75" hidden="false" customHeight="false" outlineLevel="0" collapsed="false">
      <c r="C890" s="14"/>
      <c r="D890" s="14"/>
      <c r="E890" s="14"/>
      <c r="F890" s="14"/>
      <c r="G890" s="14"/>
      <c r="H890" s="14"/>
    </row>
    <row r="891" customFormat="false" ht="15.75" hidden="false" customHeight="false" outlineLevel="0" collapsed="false">
      <c r="C891" s="14"/>
      <c r="D891" s="14"/>
      <c r="E891" s="14"/>
      <c r="F891" s="14"/>
      <c r="G891" s="14"/>
      <c r="H891" s="14"/>
    </row>
    <row r="892" customFormat="false" ht="15.75" hidden="false" customHeight="false" outlineLevel="0" collapsed="false">
      <c r="C892" s="14"/>
      <c r="D892" s="14"/>
      <c r="E892" s="14"/>
      <c r="F892" s="14"/>
      <c r="G892" s="14"/>
      <c r="H892" s="14"/>
    </row>
    <row r="893" customFormat="false" ht="15.75" hidden="false" customHeight="false" outlineLevel="0" collapsed="false">
      <c r="C893" s="14"/>
      <c r="D893" s="14"/>
      <c r="E893" s="14"/>
      <c r="F893" s="14"/>
      <c r="G893" s="14"/>
      <c r="H893" s="14"/>
    </row>
    <row r="894" customFormat="false" ht="15.75" hidden="false" customHeight="false" outlineLevel="0" collapsed="false">
      <c r="C894" s="14"/>
      <c r="D894" s="14"/>
      <c r="E894" s="14"/>
      <c r="F894" s="14"/>
      <c r="G894" s="14"/>
      <c r="H894" s="14"/>
    </row>
    <row r="895" customFormat="false" ht="15.75" hidden="false" customHeight="false" outlineLevel="0" collapsed="false">
      <c r="C895" s="14"/>
      <c r="D895" s="14"/>
      <c r="E895" s="14"/>
      <c r="F895" s="14"/>
      <c r="G895" s="14"/>
      <c r="H895" s="14"/>
    </row>
    <row r="896" customFormat="false" ht="15.75" hidden="false" customHeight="false" outlineLevel="0" collapsed="false">
      <c r="C896" s="14"/>
      <c r="D896" s="14"/>
      <c r="E896" s="14"/>
      <c r="F896" s="14"/>
      <c r="G896" s="14"/>
      <c r="H896" s="14"/>
    </row>
    <row r="897" customFormat="false" ht="15.75" hidden="false" customHeight="false" outlineLevel="0" collapsed="false">
      <c r="C897" s="14"/>
      <c r="D897" s="14"/>
      <c r="E897" s="14"/>
      <c r="F897" s="14"/>
      <c r="G897" s="14"/>
      <c r="H897" s="14"/>
    </row>
    <row r="898" customFormat="false" ht="15.75" hidden="false" customHeight="false" outlineLevel="0" collapsed="false">
      <c r="C898" s="14"/>
      <c r="D898" s="14"/>
      <c r="E898" s="14"/>
      <c r="F898" s="14"/>
      <c r="G898" s="14"/>
      <c r="H898" s="14"/>
    </row>
    <row r="899" customFormat="false" ht="15.75" hidden="false" customHeight="false" outlineLevel="0" collapsed="false">
      <c r="C899" s="14"/>
      <c r="D899" s="14"/>
      <c r="E899" s="14"/>
      <c r="F899" s="14"/>
      <c r="G899" s="14"/>
      <c r="H899" s="14"/>
    </row>
    <row r="900" customFormat="false" ht="15.75" hidden="false" customHeight="false" outlineLevel="0" collapsed="false">
      <c r="C900" s="14"/>
      <c r="D900" s="14"/>
      <c r="E900" s="14"/>
      <c r="F900" s="14"/>
      <c r="G900" s="14"/>
      <c r="H900" s="14"/>
    </row>
    <row r="901" customFormat="false" ht="15.75" hidden="false" customHeight="false" outlineLevel="0" collapsed="false">
      <c r="C901" s="14"/>
      <c r="D901" s="14"/>
      <c r="E901" s="14"/>
      <c r="F901" s="14"/>
      <c r="G901" s="14"/>
      <c r="H901" s="14"/>
    </row>
    <row r="902" customFormat="false" ht="15.75" hidden="false" customHeight="false" outlineLevel="0" collapsed="false">
      <c r="C902" s="14"/>
      <c r="D902" s="14"/>
      <c r="E902" s="14"/>
      <c r="F902" s="14"/>
      <c r="G902" s="14"/>
      <c r="H902" s="14"/>
    </row>
    <row r="903" customFormat="false" ht="15.75" hidden="false" customHeight="false" outlineLevel="0" collapsed="false">
      <c r="C903" s="14"/>
      <c r="D903" s="14"/>
      <c r="E903" s="14"/>
      <c r="F903" s="14"/>
      <c r="G903" s="14"/>
      <c r="H903" s="14"/>
    </row>
    <row r="904" customFormat="false" ht="15.75" hidden="false" customHeight="false" outlineLevel="0" collapsed="false">
      <c r="C904" s="14"/>
      <c r="D904" s="14"/>
      <c r="E904" s="14"/>
      <c r="F904" s="14"/>
      <c r="G904" s="14"/>
      <c r="H904" s="14"/>
    </row>
    <row r="905" customFormat="false" ht="15.75" hidden="false" customHeight="false" outlineLevel="0" collapsed="false">
      <c r="C905" s="14"/>
      <c r="D905" s="14"/>
      <c r="E905" s="14"/>
      <c r="F905" s="14"/>
      <c r="G905" s="14"/>
      <c r="H905" s="14"/>
    </row>
    <row r="906" customFormat="false" ht="15.75" hidden="false" customHeight="false" outlineLevel="0" collapsed="false">
      <c r="C906" s="14"/>
      <c r="D906" s="14"/>
      <c r="E906" s="14"/>
      <c r="F906" s="14"/>
      <c r="G906" s="14"/>
      <c r="H906" s="14"/>
    </row>
    <row r="907" customFormat="false" ht="15.75" hidden="false" customHeight="false" outlineLevel="0" collapsed="false">
      <c r="C907" s="14"/>
      <c r="D907" s="14"/>
      <c r="E907" s="14"/>
      <c r="F907" s="14"/>
      <c r="G907" s="14"/>
      <c r="H907" s="14"/>
    </row>
    <row r="908" customFormat="false" ht="15.75" hidden="false" customHeight="false" outlineLevel="0" collapsed="false">
      <c r="C908" s="14"/>
      <c r="D908" s="14"/>
      <c r="E908" s="14"/>
      <c r="F908" s="14"/>
      <c r="G908" s="14"/>
      <c r="H908" s="14"/>
    </row>
    <row r="909" customFormat="false" ht="15.75" hidden="false" customHeight="false" outlineLevel="0" collapsed="false">
      <c r="C909" s="14"/>
      <c r="D909" s="14"/>
      <c r="E909" s="14"/>
      <c r="F909" s="14"/>
      <c r="G909" s="14"/>
      <c r="H909" s="14"/>
    </row>
    <row r="910" customFormat="false" ht="15.75" hidden="false" customHeight="false" outlineLevel="0" collapsed="false">
      <c r="C910" s="14"/>
      <c r="D910" s="14"/>
      <c r="E910" s="14"/>
      <c r="F910" s="14"/>
      <c r="G910" s="14"/>
      <c r="H910" s="14"/>
    </row>
    <row r="911" customFormat="false" ht="15.75" hidden="false" customHeight="false" outlineLevel="0" collapsed="false">
      <c r="C911" s="14"/>
      <c r="D911" s="14"/>
      <c r="E911" s="14"/>
      <c r="F911" s="14"/>
      <c r="G911" s="14"/>
      <c r="H911" s="14"/>
    </row>
    <row r="912" customFormat="false" ht="15.75" hidden="false" customHeight="false" outlineLevel="0" collapsed="false">
      <c r="C912" s="14"/>
      <c r="D912" s="14"/>
      <c r="E912" s="14"/>
      <c r="F912" s="14"/>
      <c r="G912" s="14"/>
      <c r="H912" s="14"/>
    </row>
    <row r="913" customFormat="false" ht="15.75" hidden="false" customHeight="false" outlineLevel="0" collapsed="false">
      <c r="C913" s="14"/>
      <c r="D913" s="14"/>
      <c r="E913" s="14"/>
      <c r="F913" s="14"/>
      <c r="G913" s="14"/>
      <c r="H913" s="14"/>
    </row>
    <row r="914" customFormat="false" ht="15.75" hidden="false" customHeight="false" outlineLevel="0" collapsed="false">
      <c r="C914" s="14"/>
      <c r="D914" s="14"/>
      <c r="E914" s="14"/>
      <c r="F914" s="14"/>
      <c r="G914" s="14"/>
      <c r="H914" s="14"/>
    </row>
    <row r="915" customFormat="false" ht="15.75" hidden="false" customHeight="false" outlineLevel="0" collapsed="false">
      <c r="C915" s="14"/>
      <c r="D915" s="14"/>
      <c r="E915" s="14"/>
      <c r="F915" s="14"/>
      <c r="G915" s="14"/>
      <c r="H915" s="14"/>
    </row>
    <row r="916" customFormat="false" ht="15.75" hidden="false" customHeight="false" outlineLevel="0" collapsed="false">
      <c r="C916" s="14"/>
      <c r="D916" s="14"/>
      <c r="E916" s="14"/>
      <c r="F916" s="14"/>
      <c r="G916" s="14"/>
      <c r="H916" s="14"/>
    </row>
    <row r="917" customFormat="false" ht="15.75" hidden="false" customHeight="false" outlineLevel="0" collapsed="false">
      <c r="C917" s="14"/>
      <c r="D917" s="14"/>
      <c r="E917" s="14"/>
      <c r="F917" s="14"/>
      <c r="G917" s="14"/>
      <c r="H917" s="14"/>
    </row>
    <row r="918" customFormat="false" ht="15.75" hidden="false" customHeight="false" outlineLevel="0" collapsed="false">
      <c r="C918" s="14"/>
      <c r="D918" s="14"/>
      <c r="E918" s="14"/>
      <c r="F918" s="14"/>
      <c r="G918" s="14"/>
      <c r="H918" s="14"/>
    </row>
    <row r="919" customFormat="false" ht="15.75" hidden="false" customHeight="false" outlineLevel="0" collapsed="false">
      <c r="C919" s="14"/>
      <c r="D919" s="14"/>
      <c r="E919" s="14"/>
      <c r="F919" s="14"/>
      <c r="G919" s="14"/>
      <c r="H919" s="14"/>
    </row>
    <row r="920" customFormat="false" ht="15.75" hidden="false" customHeight="false" outlineLevel="0" collapsed="false">
      <c r="C920" s="14"/>
      <c r="D920" s="14"/>
      <c r="E920" s="14"/>
      <c r="F920" s="14"/>
      <c r="G920" s="14"/>
      <c r="H920" s="14"/>
    </row>
    <row r="921" customFormat="false" ht="15.75" hidden="false" customHeight="false" outlineLevel="0" collapsed="false">
      <c r="C921" s="14"/>
      <c r="D921" s="14"/>
      <c r="E921" s="14"/>
      <c r="F921" s="14"/>
      <c r="G921" s="14"/>
      <c r="H921" s="14"/>
    </row>
    <row r="922" customFormat="false" ht="15.75" hidden="false" customHeight="false" outlineLevel="0" collapsed="false">
      <c r="C922" s="14"/>
      <c r="D922" s="14"/>
      <c r="E922" s="14"/>
      <c r="F922" s="14"/>
      <c r="G922" s="14"/>
      <c r="H922" s="14"/>
    </row>
    <row r="923" customFormat="false" ht="15.75" hidden="false" customHeight="false" outlineLevel="0" collapsed="false">
      <c r="C923" s="14"/>
      <c r="D923" s="14"/>
      <c r="E923" s="14"/>
      <c r="F923" s="14"/>
      <c r="G923" s="14"/>
      <c r="H923" s="14"/>
    </row>
    <row r="924" customFormat="false" ht="15.75" hidden="false" customHeight="false" outlineLevel="0" collapsed="false">
      <c r="C924" s="14"/>
      <c r="D924" s="14"/>
      <c r="E924" s="14"/>
      <c r="F924" s="14"/>
      <c r="G924" s="14"/>
      <c r="H924" s="14"/>
    </row>
    <row r="925" customFormat="false" ht="15.75" hidden="false" customHeight="false" outlineLevel="0" collapsed="false">
      <c r="C925" s="14"/>
      <c r="D925" s="14"/>
      <c r="E925" s="14"/>
      <c r="F925" s="14"/>
      <c r="G925" s="14"/>
      <c r="H925" s="14"/>
    </row>
    <row r="926" customFormat="false" ht="15.75" hidden="false" customHeight="false" outlineLevel="0" collapsed="false">
      <c r="C926" s="14"/>
      <c r="D926" s="14"/>
      <c r="E926" s="14"/>
      <c r="F926" s="14"/>
      <c r="G926" s="14"/>
      <c r="H926" s="14"/>
    </row>
    <row r="927" customFormat="false" ht="15.75" hidden="false" customHeight="false" outlineLevel="0" collapsed="false">
      <c r="C927" s="14"/>
      <c r="D927" s="14"/>
      <c r="E927" s="14"/>
      <c r="F927" s="14"/>
      <c r="G927" s="14"/>
      <c r="H927" s="14"/>
    </row>
    <row r="928" customFormat="false" ht="15.75" hidden="false" customHeight="false" outlineLevel="0" collapsed="false">
      <c r="C928" s="14"/>
      <c r="D928" s="14"/>
      <c r="E928" s="14"/>
      <c r="F928" s="14"/>
      <c r="G928" s="14"/>
      <c r="H928" s="14"/>
    </row>
    <row r="929" customFormat="false" ht="15.75" hidden="false" customHeight="false" outlineLevel="0" collapsed="false">
      <c r="C929" s="14"/>
      <c r="D929" s="14"/>
      <c r="E929" s="14"/>
      <c r="F929" s="14"/>
      <c r="G929" s="14"/>
      <c r="H929" s="14"/>
    </row>
    <row r="930" customFormat="false" ht="15.75" hidden="false" customHeight="false" outlineLevel="0" collapsed="false">
      <c r="C930" s="14"/>
      <c r="D930" s="14"/>
      <c r="E930" s="14"/>
      <c r="F930" s="14"/>
      <c r="G930" s="14"/>
      <c r="H930" s="14"/>
    </row>
    <row r="931" customFormat="false" ht="15.75" hidden="false" customHeight="false" outlineLevel="0" collapsed="false">
      <c r="C931" s="14"/>
      <c r="D931" s="14"/>
      <c r="E931" s="14"/>
      <c r="F931" s="14"/>
      <c r="G931" s="14"/>
      <c r="H931" s="14"/>
    </row>
    <row r="932" customFormat="false" ht="15.75" hidden="false" customHeight="false" outlineLevel="0" collapsed="false">
      <c r="C932" s="14"/>
      <c r="D932" s="14"/>
      <c r="E932" s="14"/>
      <c r="F932" s="14"/>
      <c r="G932" s="14"/>
      <c r="H932" s="14"/>
    </row>
    <row r="933" customFormat="false" ht="15.75" hidden="false" customHeight="false" outlineLevel="0" collapsed="false">
      <c r="C933" s="14"/>
      <c r="D933" s="14"/>
      <c r="E933" s="14"/>
      <c r="F933" s="14"/>
      <c r="G933" s="14"/>
      <c r="H933" s="14"/>
    </row>
    <row r="934" customFormat="false" ht="15.75" hidden="false" customHeight="false" outlineLevel="0" collapsed="false">
      <c r="C934" s="14"/>
      <c r="D934" s="14"/>
      <c r="E934" s="14"/>
      <c r="F934" s="14"/>
      <c r="G934" s="14"/>
      <c r="H934" s="14"/>
    </row>
    <row r="935" customFormat="false" ht="15.75" hidden="false" customHeight="false" outlineLevel="0" collapsed="false">
      <c r="C935" s="14"/>
      <c r="D935" s="14"/>
      <c r="E935" s="14"/>
      <c r="F935" s="14"/>
      <c r="G935" s="14"/>
      <c r="H935" s="14"/>
    </row>
    <row r="936" customFormat="false" ht="15.75" hidden="false" customHeight="false" outlineLevel="0" collapsed="false">
      <c r="C936" s="14"/>
      <c r="D936" s="14"/>
      <c r="E936" s="14"/>
      <c r="F936" s="14"/>
      <c r="G936" s="14"/>
      <c r="H936" s="14"/>
    </row>
    <row r="937" customFormat="false" ht="15.75" hidden="false" customHeight="false" outlineLevel="0" collapsed="false">
      <c r="C937" s="14"/>
      <c r="D937" s="14"/>
      <c r="E937" s="14"/>
      <c r="F937" s="14"/>
      <c r="G937" s="14"/>
      <c r="H937" s="14"/>
    </row>
    <row r="938" customFormat="false" ht="15.75" hidden="false" customHeight="false" outlineLevel="0" collapsed="false">
      <c r="C938" s="14"/>
      <c r="D938" s="14"/>
      <c r="E938" s="14"/>
      <c r="F938" s="14"/>
      <c r="G938" s="14"/>
      <c r="H938" s="14"/>
    </row>
    <row r="939" customFormat="false" ht="15.75" hidden="false" customHeight="false" outlineLevel="0" collapsed="false">
      <c r="C939" s="14"/>
      <c r="D939" s="14"/>
      <c r="E939" s="14"/>
      <c r="F939" s="14"/>
      <c r="G939" s="14"/>
      <c r="H939" s="14"/>
    </row>
    <row r="940" customFormat="false" ht="15.75" hidden="false" customHeight="false" outlineLevel="0" collapsed="false">
      <c r="C940" s="14"/>
      <c r="D940" s="14"/>
      <c r="E940" s="14"/>
      <c r="F940" s="14"/>
      <c r="G940" s="14"/>
      <c r="H940" s="14"/>
    </row>
    <row r="941" customFormat="false" ht="15.75" hidden="false" customHeight="false" outlineLevel="0" collapsed="false">
      <c r="C941" s="14"/>
      <c r="D941" s="14"/>
      <c r="E941" s="14"/>
      <c r="F941" s="14"/>
      <c r="G941" s="14"/>
      <c r="H941" s="14"/>
    </row>
    <row r="942" customFormat="false" ht="15.75" hidden="false" customHeight="false" outlineLevel="0" collapsed="false">
      <c r="C942" s="14"/>
      <c r="D942" s="14"/>
      <c r="E942" s="14"/>
      <c r="F942" s="14"/>
      <c r="G942" s="14"/>
      <c r="H942" s="14"/>
    </row>
    <row r="943" customFormat="false" ht="15.75" hidden="false" customHeight="false" outlineLevel="0" collapsed="false">
      <c r="C943" s="14"/>
      <c r="D943" s="14"/>
      <c r="E943" s="14"/>
      <c r="F943" s="14"/>
      <c r="G943" s="14"/>
      <c r="H943" s="14"/>
    </row>
    <row r="944" customFormat="false" ht="15.75" hidden="false" customHeight="false" outlineLevel="0" collapsed="false">
      <c r="C944" s="14"/>
      <c r="D944" s="14"/>
      <c r="E944" s="14"/>
      <c r="F944" s="14"/>
      <c r="G944" s="14"/>
      <c r="H944" s="14"/>
    </row>
    <row r="945" customFormat="false" ht="15.75" hidden="false" customHeight="false" outlineLevel="0" collapsed="false">
      <c r="C945" s="14"/>
      <c r="D945" s="14"/>
      <c r="E945" s="14"/>
      <c r="F945" s="14"/>
      <c r="G945" s="14"/>
      <c r="H945" s="14"/>
    </row>
    <row r="946" customFormat="false" ht="15.75" hidden="false" customHeight="false" outlineLevel="0" collapsed="false">
      <c r="C946" s="14"/>
      <c r="D946" s="14"/>
      <c r="E946" s="14"/>
      <c r="F946" s="14"/>
      <c r="G946" s="14"/>
      <c r="H946" s="14"/>
    </row>
    <row r="947" customFormat="false" ht="15.75" hidden="false" customHeight="false" outlineLevel="0" collapsed="false">
      <c r="C947" s="14"/>
      <c r="D947" s="14"/>
      <c r="E947" s="14"/>
      <c r="F947" s="14"/>
      <c r="G947" s="14"/>
      <c r="H947" s="14"/>
    </row>
    <row r="948" customFormat="false" ht="15.75" hidden="false" customHeight="false" outlineLevel="0" collapsed="false">
      <c r="C948" s="14"/>
      <c r="D948" s="14"/>
      <c r="E948" s="14"/>
      <c r="F948" s="14"/>
      <c r="G948" s="14"/>
      <c r="H948" s="14"/>
    </row>
    <row r="949" customFormat="false" ht="15.75" hidden="false" customHeight="false" outlineLevel="0" collapsed="false">
      <c r="C949" s="14"/>
      <c r="D949" s="14"/>
      <c r="E949" s="14"/>
      <c r="F949" s="14"/>
      <c r="G949" s="14"/>
      <c r="H949" s="14"/>
    </row>
    <row r="950" customFormat="false" ht="15.75" hidden="false" customHeight="false" outlineLevel="0" collapsed="false">
      <c r="C950" s="14"/>
      <c r="D950" s="14"/>
      <c r="E950" s="14"/>
      <c r="F950" s="14"/>
      <c r="G950" s="14"/>
      <c r="H950" s="14"/>
    </row>
    <row r="951" customFormat="false" ht="15.75" hidden="false" customHeight="false" outlineLevel="0" collapsed="false">
      <c r="C951" s="14"/>
      <c r="D951" s="14"/>
      <c r="E951" s="14"/>
      <c r="F951" s="14"/>
      <c r="G951" s="14"/>
      <c r="H951" s="14"/>
    </row>
    <row r="952" customFormat="false" ht="15.75" hidden="false" customHeight="false" outlineLevel="0" collapsed="false">
      <c r="C952" s="14"/>
      <c r="D952" s="14"/>
      <c r="E952" s="14"/>
      <c r="F952" s="14"/>
      <c r="G952" s="14"/>
      <c r="H952" s="14"/>
    </row>
    <row r="953" customFormat="false" ht="15.75" hidden="false" customHeight="false" outlineLevel="0" collapsed="false">
      <c r="C953" s="14"/>
      <c r="D953" s="14"/>
      <c r="E953" s="14"/>
      <c r="F953" s="14"/>
      <c r="G953" s="14"/>
      <c r="H953" s="14"/>
    </row>
    <row r="954" customFormat="false" ht="15.75" hidden="false" customHeight="false" outlineLevel="0" collapsed="false">
      <c r="C954" s="14"/>
      <c r="D954" s="14"/>
      <c r="E954" s="14"/>
      <c r="F954" s="14"/>
      <c r="G954" s="14"/>
      <c r="H954" s="14"/>
    </row>
    <row r="955" customFormat="false" ht="15.75" hidden="false" customHeight="false" outlineLevel="0" collapsed="false">
      <c r="C955" s="14"/>
      <c r="D955" s="14"/>
      <c r="E955" s="14"/>
      <c r="F955" s="14"/>
      <c r="G955" s="14"/>
      <c r="H955" s="14"/>
    </row>
    <row r="956" customFormat="false" ht="15.75" hidden="false" customHeight="false" outlineLevel="0" collapsed="false">
      <c r="C956" s="14"/>
      <c r="D956" s="14"/>
      <c r="E956" s="14"/>
      <c r="F956" s="14"/>
      <c r="G956" s="14"/>
      <c r="H956" s="14"/>
    </row>
    <row r="957" customFormat="false" ht="15.75" hidden="false" customHeight="false" outlineLevel="0" collapsed="false">
      <c r="C957" s="14"/>
      <c r="D957" s="14"/>
      <c r="E957" s="14"/>
      <c r="F957" s="14"/>
      <c r="G957" s="14"/>
      <c r="H957" s="14"/>
    </row>
    <row r="958" customFormat="false" ht="15.75" hidden="false" customHeight="false" outlineLevel="0" collapsed="false">
      <c r="C958" s="14"/>
      <c r="D958" s="14"/>
      <c r="E958" s="14"/>
      <c r="F958" s="14"/>
      <c r="G958" s="14"/>
      <c r="H958" s="14"/>
    </row>
    <row r="959" customFormat="false" ht="15.75" hidden="false" customHeight="false" outlineLevel="0" collapsed="false">
      <c r="C959" s="14"/>
      <c r="D959" s="14"/>
      <c r="E959" s="14"/>
      <c r="F959" s="14"/>
      <c r="G959" s="14"/>
      <c r="H959" s="14"/>
    </row>
    <row r="960" customFormat="false" ht="15.75" hidden="false" customHeight="false" outlineLevel="0" collapsed="false">
      <c r="C960" s="14"/>
      <c r="D960" s="14"/>
      <c r="E960" s="14"/>
      <c r="F960" s="14"/>
      <c r="G960" s="14"/>
      <c r="H960" s="14"/>
    </row>
    <row r="961" customFormat="false" ht="15.75" hidden="false" customHeight="false" outlineLevel="0" collapsed="false">
      <c r="C961" s="14"/>
      <c r="D961" s="14"/>
      <c r="E961" s="14"/>
      <c r="F961" s="14"/>
      <c r="G961" s="14"/>
      <c r="H961" s="14"/>
    </row>
    <row r="962" customFormat="false" ht="15.75" hidden="false" customHeight="false" outlineLevel="0" collapsed="false">
      <c r="C962" s="14"/>
      <c r="D962" s="14"/>
      <c r="E962" s="14"/>
      <c r="F962" s="14"/>
      <c r="G962" s="14"/>
      <c r="H962" s="14"/>
    </row>
    <row r="963" customFormat="false" ht="15.75" hidden="false" customHeight="false" outlineLevel="0" collapsed="false">
      <c r="C963" s="14"/>
      <c r="D963" s="14"/>
      <c r="E963" s="14"/>
      <c r="F963" s="14"/>
      <c r="G963" s="14"/>
      <c r="H963" s="14"/>
    </row>
    <row r="964" customFormat="false" ht="15.75" hidden="false" customHeight="false" outlineLevel="0" collapsed="false">
      <c r="C964" s="14"/>
      <c r="D964" s="14"/>
      <c r="E964" s="14"/>
      <c r="F964" s="14"/>
      <c r="G964" s="14"/>
      <c r="H964" s="14"/>
    </row>
    <row r="965" customFormat="false" ht="15.75" hidden="false" customHeight="false" outlineLevel="0" collapsed="false">
      <c r="C965" s="14"/>
      <c r="D965" s="14"/>
      <c r="E965" s="14"/>
      <c r="F965" s="14"/>
      <c r="G965" s="14"/>
      <c r="H965" s="14"/>
    </row>
    <row r="966" customFormat="false" ht="15.75" hidden="false" customHeight="false" outlineLevel="0" collapsed="false">
      <c r="C966" s="14"/>
      <c r="D966" s="14"/>
      <c r="E966" s="14"/>
      <c r="F966" s="14"/>
      <c r="G966" s="14"/>
      <c r="H966" s="14"/>
    </row>
    <row r="967" customFormat="false" ht="15.75" hidden="false" customHeight="false" outlineLevel="0" collapsed="false">
      <c r="C967" s="14"/>
      <c r="D967" s="14"/>
      <c r="E967" s="14"/>
      <c r="F967" s="14"/>
      <c r="G967" s="14"/>
      <c r="H967" s="14"/>
    </row>
    <row r="968" customFormat="false" ht="15.75" hidden="false" customHeight="false" outlineLevel="0" collapsed="false">
      <c r="C968" s="14"/>
      <c r="D968" s="14"/>
      <c r="E968" s="14"/>
      <c r="F968" s="14"/>
      <c r="G968" s="14"/>
      <c r="H968" s="14"/>
    </row>
    <row r="969" customFormat="false" ht="15.75" hidden="false" customHeight="false" outlineLevel="0" collapsed="false">
      <c r="C969" s="14"/>
      <c r="D969" s="14"/>
      <c r="E969" s="14"/>
      <c r="F969" s="14"/>
      <c r="G969" s="14"/>
      <c r="H969" s="14"/>
    </row>
    <row r="970" customFormat="false" ht="15.75" hidden="false" customHeight="false" outlineLevel="0" collapsed="false">
      <c r="C970" s="14"/>
      <c r="D970" s="14"/>
      <c r="E970" s="14"/>
      <c r="F970" s="14"/>
      <c r="G970" s="14"/>
      <c r="H970" s="14"/>
    </row>
    <row r="971" customFormat="false" ht="15.75" hidden="false" customHeight="false" outlineLevel="0" collapsed="false">
      <c r="C971" s="14"/>
      <c r="D971" s="14"/>
      <c r="E971" s="14"/>
      <c r="F971" s="14"/>
      <c r="G971" s="14"/>
      <c r="H971" s="14"/>
    </row>
    <row r="972" customFormat="false" ht="15.75" hidden="false" customHeight="false" outlineLevel="0" collapsed="false">
      <c r="C972" s="14"/>
      <c r="D972" s="14"/>
      <c r="E972" s="14"/>
      <c r="F972" s="14"/>
      <c r="G972" s="14"/>
      <c r="H972" s="14"/>
    </row>
    <row r="973" customFormat="false" ht="15.75" hidden="false" customHeight="false" outlineLevel="0" collapsed="false">
      <c r="C973" s="14"/>
      <c r="D973" s="14"/>
      <c r="E973" s="14"/>
      <c r="F973" s="14"/>
      <c r="G973" s="14"/>
      <c r="H973" s="14"/>
    </row>
    <row r="974" customFormat="false" ht="15.75" hidden="false" customHeight="false" outlineLevel="0" collapsed="false">
      <c r="C974" s="14"/>
      <c r="D974" s="14"/>
      <c r="E974" s="14"/>
      <c r="F974" s="14"/>
      <c r="G974" s="14"/>
      <c r="H974" s="14"/>
    </row>
    <row r="975" customFormat="false" ht="15.75" hidden="false" customHeight="false" outlineLevel="0" collapsed="false">
      <c r="C975" s="14"/>
      <c r="D975" s="14"/>
      <c r="E975" s="14"/>
      <c r="F975" s="14"/>
      <c r="G975" s="14"/>
      <c r="H975" s="14"/>
    </row>
    <row r="976" customFormat="false" ht="15.75" hidden="false" customHeight="false" outlineLevel="0" collapsed="false">
      <c r="C976" s="14"/>
      <c r="D976" s="14"/>
      <c r="E976" s="14"/>
      <c r="F976" s="14"/>
      <c r="G976" s="14"/>
      <c r="H976" s="14"/>
    </row>
    <row r="977" customFormat="false" ht="15.75" hidden="false" customHeight="false" outlineLevel="0" collapsed="false">
      <c r="C977" s="14"/>
      <c r="D977" s="14"/>
      <c r="E977" s="14"/>
      <c r="F977" s="14"/>
      <c r="G977" s="14"/>
      <c r="H977" s="14"/>
    </row>
    <row r="978" customFormat="false" ht="15.75" hidden="false" customHeight="false" outlineLevel="0" collapsed="false">
      <c r="C978" s="14"/>
      <c r="D978" s="14"/>
      <c r="E978" s="14"/>
      <c r="F978" s="14"/>
      <c r="G978" s="14"/>
      <c r="H978" s="14"/>
    </row>
    <row r="979" customFormat="false" ht="15.75" hidden="false" customHeight="false" outlineLevel="0" collapsed="false">
      <c r="C979" s="14"/>
      <c r="D979" s="14"/>
      <c r="E979" s="14"/>
      <c r="F979" s="14"/>
      <c r="G979" s="14"/>
      <c r="H979" s="14"/>
    </row>
    <row r="980" customFormat="false" ht="15.75" hidden="false" customHeight="false" outlineLevel="0" collapsed="false">
      <c r="C980" s="14"/>
      <c r="D980" s="14"/>
      <c r="E980" s="14"/>
      <c r="F980" s="14"/>
      <c r="G980" s="14"/>
      <c r="H980" s="14"/>
    </row>
    <row r="981" customFormat="false" ht="15.75" hidden="false" customHeight="false" outlineLevel="0" collapsed="false">
      <c r="C981" s="14"/>
      <c r="D981" s="14"/>
      <c r="E981" s="14"/>
      <c r="F981" s="14"/>
      <c r="G981" s="14"/>
      <c r="H981" s="14"/>
    </row>
    <row r="982" customFormat="false" ht="15.75" hidden="false" customHeight="false" outlineLevel="0" collapsed="false">
      <c r="C982" s="14"/>
      <c r="D982" s="14"/>
      <c r="E982" s="14"/>
      <c r="F982" s="14"/>
      <c r="G982" s="14"/>
      <c r="H982" s="14"/>
    </row>
    <row r="983" customFormat="false" ht="15.75" hidden="false" customHeight="false" outlineLevel="0" collapsed="false">
      <c r="C983" s="14"/>
      <c r="D983" s="14"/>
      <c r="E983" s="14"/>
      <c r="F983" s="14"/>
      <c r="G983" s="14"/>
      <c r="H983" s="14"/>
    </row>
    <row r="984" customFormat="false" ht="15.75" hidden="false" customHeight="false" outlineLevel="0" collapsed="false">
      <c r="C984" s="14"/>
      <c r="D984" s="14"/>
      <c r="E984" s="14"/>
      <c r="F984" s="14"/>
      <c r="G984" s="14"/>
      <c r="H984" s="14"/>
    </row>
    <row r="985" customFormat="false" ht="15.75" hidden="false" customHeight="false" outlineLevel="0" collapsed="false">
      <c r="C985" s="14"/>
      <c r="D985" s="14"/>
      <c r="E985" s="14"/>
      <c r="F985" s="14"/>
      <c r="G985" s="14"/>
      <c r="H985" s="14"/>
    </row>
    <row r="986" customFormat="false" ht="15.75" hidden="false" customHeight="false" outlineLevel="0" collapsed="false">
      <c r="C986" s="14"/>
      <c r="D986" s="14"/>
      <c r="E986" s="14"/>
      <c r="F986" s="14"/>
      <c r="G986" s="14"/>
      <c r="H986" s="14"/>
    </row>
    <row r="987" customFormat="false" ht="15.75" hidden="false" customHeight="false" outlineLevel="0" collapsed="false">
      <c r="C987" s="14"/>
      <c r="D987" s="14"/>
      <c r="E987" s="14"/>
      <c r="F987" s="14"/>
      <c r="G987" s="14"/>
      <c r="H987" s="14"/>
    </row>
    <row r="988" customFormat="false" ht="15.75" hidden="false" customHeight="false" outlineLevel="0" collapsed="false">
      <c r="C988" s="14"/>
      <c r="D988" s="14"/>
      <c r="E988" s="14"/>
      <c r="F988" s="14"/>
      <c r="G988" s="14"/>
      <c r="H988" s="14"/>
    </row>
    <row r="989" customFormat="false" ht="15.75" hidden="false" customHeight="false" outlineLevel="0" collapsed="false">
      <c r="C989" s="14"/>
      <c r="D989" s="14"/>
      <c r="E989" s="14"/>
      <c r="F989" s="14"/>
      <c r="G989" s="14"/>
      <c r="H989" s="14"/>
    </row>
    <row r="990" customFormat="false" ht="15.75" hidden="false" customHeight="false" outlineLevel="0" collapsed="false">
      <c r="C990" s="14"/>
      <c r="D990" s="14"/>
      <c r="E990" s="14"/>
      <c r="F990" s="14"/>
      <c r="G990" s="14"/>
      <c r="H990" s="14"/>
    </row>
    <row r="991" customFormat="false" ht="15.75" hidden="false" customHeight="false" outlineLevel="0" collapsed="false">
      <c r="C991" s="14"/>
      <c r="D991" s="14"/>
      <c r="E991" s="14"/>
      <c r="F991" s="14"/>
      <c r="G991" s="14"/>
      <c r="H991" s="14"/>
    </row>
    <row r="992" customFormat="false" ht="15.75" hidden="false" customHeight="false" outlineLevel="0" collapsed="false">
      <c r="C992" s="14"/>
      <c r="D992" s="14"/>
      <c r="E992" s="14"/>
      <c r="F992" s="14"/>
      <c r="G992" s="14"/>
      <c r="H992" s="14"/>
    </row>
    <row r="993" customFormat="false" ht="15.75" hidden="false" customHeight="false" outlineLevel="0" collapsed="false">
      <c r="C993" s="14"/>
      <c r="D993" s="14"/>
      <c r="E993" s="14"/>
      <c r="F993" s="14"/>
      <c r="G993" s="14"/>
      <c r="H993" s="14"/>
    </row>
    <row r="994" customFormat="false" ht="15.75" hidden="false" customHeight="false" outlineLevel="0" collapsed="false">
      <c r="C994" s="14"/>
      <c r="D994" s="14"/>
      <c r="E994" s="14"/>
      <c r="F994" s="14"/>
      <c r="G994" s="14"/>
      <c r="H994" s="14"/>
    </row>
    <row r="995" customFormat="false" ht="15.75" hidden="false" customHeight="false" outlineLevel="0" collapsed="false">
      <c r="C995" s="14"/>
      <c r="D995" s="14"/>
      <c r="E995" s="14"/>
      <c r="F995" s="14"/>
      <c r="G995" s="14"/>
      <c r="H995" s="14"/>
    </row>
    <row r="996" customFormat="false" ht="15.75" hidden="false" customHeight="false" outlineLevel="0" collapsed="false">
      <c r="C996" s="14"/>
      <c r="D996" s="14"/>
      <c r="E996" s="14"/>
      <c r="F996" s="14"/>
      <c r="G996" s="14"/>
      <c r="H996" s="14"/>
    </row>
    <row r="997" customFormat="false" ht="15.75" hidden="false" customHeight="false" outlineLevel="0" collapsed="false">
      <c r="C997" s="14"/>
      <c r="D997" s="14"/>
      <c r="E997" s="14"/>
      <c r="F997" s="14"/>
      <c r="G997" s="14"/>
      <c r="H997" s="14"/>
    </row>
    <row r="998" customFormat="false" ht="15.75" hidden="false" customHeight="false" outlineLevel="0" collapsed="false">
      <c r="C998" s="14"/>
      <c r="D998" s="14"/>
      <c r="E998" s="14"/>
      <c r="F998" s="14"/>
      <c r="G998" s="14"/>
      <c r="H998" s="14"/>
    </row>
    <row r="999" customFormat="false" ht="15.75" hidden="false" customHeight="false" outlineLevel="0" collapsed="false">
      <c r="C999" s="14"/>
      <c r="D999" s="14"/>
      <c r="E999" s="14"/>
      <c r="F999" s="14"/>
      <c r="G999" s="14"/>
      <c r="H999" s="14"/>
    </row>
  </sheetData>
  <mergeCells count="17">
    <mergeCell ref="A2:A6"/>
    <mergeCell ref="F2:F7"/>
    <mergeCell ref="G2:G7"/>
    <mergeCell ref="H2:H7"/>
    <mergeCell ref="A7:A12"/>
    <mergeCell ref="F8:F12"/>
    <mergeCell ref="G8:G12"/>
    <mergeCell ref="H8:H12"/>
    <mergeCell ref="A13:A18"/>
    <mergeCell ref="F13:F18"/>
    <mergeCell ref="G13:G18"/>
    <mergeCell ref="H13:H18"/>
    <mergeCell ref="A20:C20"/>
    <mergeCell ref="A21:A23"/>
    <mergeCell ref="F21:F23"/>
    <mergeCell ref="G21:G23"/>
    <mergeCell ref="H21:H2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6.01"/>
    <col collapsed="false" customWidth="true" hidden="false" outlineLevel="0" max="1025" min="4" style="0" width="12.63"/>
  </cols>
  <sheetData>
    <row r="1" customFormat="false" ht="15.75" hidden="false" customHeight="false" outlineLevel="0" collapsed="false">
      <c r="D1" s="37" t="s">
        <v>653</v>
      </c>
      <c r="E1" s="37" t="s">
        <v>654</v>
      </c>
      <c r="F1" s="37" t="s">
        <v>5</v>
      </c>
      <c r="G1" s="37" t="s">
        <v>655</v>
      </c>
      <c r="H1" s="37" t="s">
        <v>656</v>
      </c>
    </row>
    <row r="2" customFormat="false" ht="15.75" hidden="false" customHeight="false" outlineLevel="0" collapsed="false">
      <c r="A2" s="52" t="s">
        <v>657</v>
      </c>
      <c r="B2" s="37" t="s">
        <v>658</v>
      </c>
      <c r="C2" s="37" t="n">
        <v>0.06</v>
      </c>
      <c r="D2" s="37" t="n">
        <v>1594.97</v>
      </c>
      <c r="E2" s="53" t="n">
        <f aca="false">D2*C2</f>
        <v>95.6982</v>
      </c>
      <c r="F2" s="54" t="n">
        <f aca="false">SUM(E2:E5)</f>
        <v>162.4973</v>
      </c>
      <c r="G2" s="55"/>
      <c r="H2" s="55"/>
    </row>
    <row r="3" customFormat="false" ht="15.75" hidden="false" customHeight="false" outlineLevel="0" collapsed="false">
      <c r="A3" s="52"/>
      <c r="B3" s="37" t="s">
        <v>659</v>
      </c>
      <c r="C3" s="37" t="n">
        <v>0.02</v>
      </c>
      <c r="D3" s="37" t="n">
        <v>257.58</v>
      </c>
      <c r="E3" s="53" t="n">
        <f aca="false">D3*C3</f>
        <v>5.1516</v>
      </c>
      <c r="F3" s="54"/>
      <c r="G3" s="54"/>
      <c r="H3" s="54"/>
    </row>
    <row r="4" customFormat="false" ht="15.75" hidden="false" customHeight="false" outlineLevel="0" collapsed="false">
      <c r="A4" s="52"/>
      <c r="B4" s="37" t="s">
        <v>660</v>
      </c>
      <c r="C4" s="37" t="n">
        <v>0.35</v>
      </c>
      <c r="D4" s="37" t="n">
        <v>166.45</v>
      </c>
      <c r="E4" s="53" t="n">
        <f aca="false">D4*C4</f>
        <v>58.2575</v>
      </c>
      <c r="F4" s="54"/>
      <c r="G4" s="54"/>
      <c r="H4" s="54"/>
    </row>
    <row r="5" customFormat="false" ht="15.75" hidden="false" customHeight="false" outlineLevel="0" collapsed="false">
      <c r="A5" s="52"/>
      <c r="B5" s="37" t="s">
        <v>661</v>
      </c>
      <c r="C5" s="37" t="n">
        <v>0.01</v>
      </c>
      <c r="D5" s="37" t="n">
        <v>339</v>
      </c>
      <c r="E5" s="53" t="n">
        <f aca="false">D5*C5</f>
        <v>3.39</v>
      </c>
      <c r="F5" s="54"/>
      <c r="G5" s="54"/>
      <c r="H5" s="54"/>
    </row>
    <row r="7" customFormat="false" ht="15.75" hidden="false" customHeight="false" outlineLevel="0" collapsed="false">
      <c r="A7" s="52" t="s">
        <v>662</v>
      </c>
      <c r="B7" s="37" t="s">
        <v>663</v>
      </c>
      <c r="C7" s="37" t="n">
        <v>0.95</v>
      </c>
      <c r="D7" s="53" t="n">
        <f aca="false">544.16/1.79</f>
        <v>304</v>
      </c>
      <c r="E7" s="53" t="n">
        <f aca="false">D7*C7</f>
        <v>288.8</v>
      </c>
      <c r="F7" s="54" t="n">
        <f aca="false">SUM(E7:E12)</f>
        <v>358.4238</v>
      </c>
      <c r="G7" s="55"/>
      <c r="H7" s="55"/>
    </row>
    <row r="8" customFormat="false" ht="15.75" hidden="false" customHeight="false" outlineLevel="0" collapsed="false">
      <c r="A8" s="52"/>
      <c r="B8" s="37" t="s">
        <v>664</v>
      </c>
      <c r="C8" s="37" t="n">
        <v>0.05</v>
      </c>
      <c r="D8" s="37" t="n">
        <v>245.42</v>
      </c>
      <c r="E8" s="53" t="n">
        <f aca="false">D8*C8</f>
        <v>12.271</v>
      </c>
      <c r="F8" s="54"/>
      <c r="G8" s="54"/>
      <c r="H8" s="54"/>
    </row>
    <row r="9" customFormat="false" ht="15.75" hidden="false" customHeight="false" outlineLevel="0" collapsed="false">
      <c r="A9" s="52"/>
      <c r="B9" s="37" t="s">
        <v>665</v>
      </c>
      <c r="C9" s="37" t="n">
        <v>0.01</v>
      </c>
      <c r="D9" s="37" t="n">
        <v>670</v>
      </c>
      <c r="E9" s="53" t="n">
        <f aca="false">D9*C9</f>
        <v>6.7</v>
      </c>
      <c r="F9" s="54"/>
      <c r="G9" s="54"/>
      <c r="H9" s="54"/>
    </row>
    <row r="10" customFormat="false" ht="15.75" hidden="false" customHeight="false" outlineLevel="0" collapsed="false">
      <c r="A10" s="52"/>
      <c r="B10" s="37" t="s">
        <v>666</v>
      </c>
      <c r="C10" s="37" t="n">
        <v>0.04</v>
      </c>
      <c r="D10" s="37" t="n">
        <v>1176.07</v>
      </c>
      <c r="E10" s="53" t="n">
        <f aca="false">D10*C10</f>
        <v>47.0428</v>
      </c>
      <c r="F10" s="54"/>
      <c r="G10" s="54"/>
      <c r="H10" s="54"/>
    </row>
    <row r="11" customFormat="false" ht="15.75" hidden="false" customHeight="false" outlineLevel="0" collapsed="false">
      <c r="A11" s="52"/>
      <c r="B11" s="37" t="s">
        <v>661</v>
      </c>
      <c r="C11" s="37" t="n">
        <v>0.01</v>
      </c>
      <c r="D11" s="37" t="n">
        <v>339</v>
      </c>
      <c r="E11" s="53" t="n">
        <f aca="false">D11*C11</f>
        <v>3.39</v>
      </c>
      <c r="F11" s="54"/>
      <c r="G11" s="54"/>
      <c r="H11" s="54"/>
    </row>
    <row r="12" customFormat="false" ht="15.75" hidden="false" customHeight="false" outlineLevel="0" collapsed="false">
      <c r="A12" s="52"/>
      <c r="B12" s="37" t="s">
        <v>667</v>
      </c>
      <c r="C12" s="37" t="n">
        <v>0.005</v>
      </c>
      <c r="D12" s="37" t="n">
        <v>44</v>
      </c>
      <c r="E12" s="53" t="n">
        <f aca="false">D12*C12</f>
        <v>0.22</v>
      </c>
      <c r="F12" s="54"/>
      <c r="G12" s="54"/>
      <c r="H12" s="54"/>
    </row>
    <row r="14" customFormat="false" ht="15.75" hidden="false" customHeight="false" outlineLevel="0" collapsed="false">
      <c r="A14" s="52" t="s">
        <v>668</v>
      </c>
      <c r="B14" s="37" t="s">
        <v>669</v>
      </c>
      <c r="C14" s="37" t="n">
        <v>0.85</v>
      </c>
      <c r="D14" s="37" t="n">
        <v>497</v>
      </c>
      <c r="E14" s="53" t="n">
        <f aca="false">D14*C14</f>
        <v>422.45</v>
      </c>
      <c r="F14" s="54" t="n">
        <f aca="false">SUM(E14:E18)</f>
        <v>437.3902</v>
      </c>
      <c r="G14" s="55"/>
      <c r="H14" s="55"/>
    </row>
    <row r="15" customFormat="false" ht="15.75" hidden="false" customHeight="false" outlineLevel="0" collapsed="false">
      <c r="A15" s="52"/>
      <c r="B15" s="37" t="s">
        <v>670</v>
      </c>
      <c r="C15" s="37" t="n">
        <v>0.1</v>
      </c>
      <c r="D15" s="37" t="n">
        <v>53</v>
      </c>
      <c r="E15" s="53" t="n">
        <f aca="false">D15*C15</f>
        <v>5.3</v>
      </c>
      <c r="F15" s="54"/>
      <c r="G15" s="54"/>
      <c r="H15" s="54"/>
    </row>
    <row r="16" customFormat="false" ht="15.75" hidden="false" customHeight="false" outlineLevel="0" collapsed="false">
      <c r="A16" s="52"/>
      <c r="B16" s="37" t="s">
        <v>671</v>
      </c>
      <c r="C16" s="37" t="n">
        <v>0.03</v>
      </c>
      <c r="D16" s="37" t="n">
        <v>210.94</v>
      </c>
      <c r="E16" s="53" t="n">
        <f aca="false">D16*C16</f>
        <v>6.3282</v>
      </c>
      <c r="F16" s="54"/>
      <c r="G16" s="54"/>
      <c r="H16" s="54"/>
    </row>
    <row r="17" customFormat="false" ht="15.75" hidden="false" customHeight="false" outlineLevel="0" collapsed="false">
      <c r="A17" s="52"/>
      <c r="B17" s="37" t="s">
        <v>672</v>
      </c>
      <c r="C17" s="37" t="n">
        <v>0.01</v>
      </c>
      <c r="D17" s="37" t="n">
        <v>222.2</v>
      </c>
      <c r="E17" s="53" t="n">
        <f aca="false">D17*C17</f>
        <v>2.222</v>
      </c>
      <c r="F17" s="54"/>
      <c r="G17" s="54"/>
      <c r="H17" s="54"/>
    </row>
    <row r="18" customFormat="false" ht="15.75" hidden="false" customHeight="false" outlineLevel="0" collapsed="false">
      <c r="A18" s="52"/>
      <c r="B18" s="37" t="s">
        <v>673</v>
      </c>
      <c r="C18" s="37" t="n">
        <v>0.01</v>
      </c>
      <c r="D18" s="37" t="n">
        <v>109</v>
      </c>
      <c r="E18" s="53" t="n">
        <f aca="false">D18*C18</f>
        <v>1.09</v>
      </c>
      <c r="F18" s="54"/>
      <c r="G18" s="54"/>
      <c r="H18" s="54"/>
    </row>
    <row r="20" customFormat="false" ht="15.75" hidden="false" customHeight="false" outlineLevel="0" collapsed="false">
      <c r="A20" s="52" t="s">
        <v>674</v>
      </c>
      <c r="B20" s="37" t="s">
        <v>675</v>
      </c>
      <c r="C20" s="37" t="n">
        <v>0.9</v>
      </c>
      <c r="D20" s="53" t="n">
        <f aca="false">612/1.7</f>
        <v>360</v>
      </c>
      <c r="E20" s="53" t="n">
        <f aca="false">D20*C20</f>
        <v>324</v>
      </c>
      <c r="F20" s="54" t="n">
        <f aca="false">SUM(E20:E25)</f>
        <v>346.656</v>
      </c>
      <c r="G20" s="55"/>
      <c r="H20" s="55"/>
    </row>
    <row r="21" customFormat="false" ht="15.75" hidden="false" customHeight="false" outlineLevel="0" collapsed="false">
      <c r="A21" s="52"/>
      <c r="B21" s="37" t="s">
        <v>676</v>
      </c>
      <c r="C21" s="37" t="n">
        <v>0.05</v>
      </c>
      <c r="D21" s="37" t="n">
        <v>210.94</v>
      </c>
      <c r="E21" s="53" t="n">
        <f aca="false">D21*C21</f>
        <v>10.547</v>
      </c>
      <c r="F21" s="54"/>
      <c r="G21" s="54"/>
      <c r="H21" s="54"/>
    </row>
    <row r="22" customFormat="false" ht="15.75" hidden="false" customHeight="false" outlineLevel="0" collapsed="false">
      <c r="A22" s="52"/>
      <c r="B22" s="37" t="s">
        <v>677</v>
      </c>
      <c r="C22" s="37" t="n">
        <v>0.02</v>
      </c>
      <c r="D22" s="37" t="n">
        <v>345</v>
      </c>
      <c r="E22" s="53" t="n">
        <f aca="false">D22*C22</f>
        <v>6.9</v>
      </c>
      <c r="F22" s="54"/>
      <c r="G22" s="54"/>
      <c r="H22" s="54"/>
    </row>
    <row r="23" customFormat="false" ht="15.75" hidden="false" customHeight="false" outlineLevel="0" collapsed="false">
      <c r="A23" s="52"/>
      <c r="B23" s="37" t="s">
        <v>678</v>
      </c>
      <c r="C23" s="37" t="n">
        <v>0.02</v>
      </c>
      <c r="D23" s="37" t="n">
        <v>222.2</v>
      </c>
      <c r="E23" s="53" t="n">
        <f aca="false">D23*C23</f>
        <v>4.444</v>
      </c>
      <c r="F23" s="54"/>
      <c r="G23" s="54"/>
      <c r="H23" s="54"/>
    </row>
    <row r="24" customFormat="false" ht="15.75" hidden="false" customHeight="false" outlineLevel="0" collapsed="false">
      <c r="A24" s="52"/>
      <c r="B24" s="37" t="s">
        <v>679</v>
      </c>
      <c r="C24" s="37" t="n">
        <v>0.005</v>
      </c>
      <c r="D24" s="37" t="n">
        <v>109</v>
      </c>
      <c r="E24" s="53" t="n">
        <f aca="false">D24*C24</f>
        <v>0.545</v>
      </c>
      <c r="F24" s="54"/>
      <c r="G24" s="54"/>
      <c r="H24" s="54"/>
    </row>
    <row r="25" customFormat="false" ht="15.75" hidden="false" customHeight="false" outlineLevel="0" collapsed="false">
      <c r="A25" s="52"/>
      <c r="B25" s="37" t="s">
        <v>667</v>
      </c>
      <c r="C25" s="37" t="n">
        <v>0.005</v>
      </c>
      <c r="D25" s="37" t="n">
        <v>44</v>
      </c>
      <c r="E25" s="53" t="n">
        <f aca="false">D25*C25</f>
        <v>0.22</v>
      </c>
      <c r="F25" s="54"/>
      <c r="G25" s="54"/>
      <c r="H25" s="54"/>
    </row>
    <row r="27" customFormat="false" ht="15.75" hidden="false" customHeight="false" outlineLevel="0" collapsed="false">
      <c r="A27" s="52" t="s">
        <v>680</v>
      </c>
      <c r="B27" s="37" t="s">
        <v>681</v>
      </c>
      <c r="C27" s="37" t="n">
        <v>0.8</v>
      </c>
      <c r="D27" s="53" t="n">
        <f aca="false">3519.2/10.6</f>
        <v>332</v>
      </c>
      <c r="E27" s="53" t="n">
        <f aca="false">D27*C27</f>
        <v>265.6</v>
      </c>
      <c r="F27" s="54" t="n">
        <f aca="false">SUM(E27:E30)</f>
        <v>298.155</v>
      </c>
      <c r="G27" s="55"/>
      <c r="H27" s="55"/>
    </row>
    <row r="28" customFormat="false" ht="15.75" hidden="false" customHeight="false" outlineLevel="0" collapsed="false">
      <c r="A28" s="52"/>
      <c r="B28" s="37" t="s">
        <v>682</v>
      </c>
      <c r="C28" s="37" t="n">
        <v>0.15</v>
      </c>
      <c r="D28" s="37" t="n">
        <v>53</v>
      </c>
      <c r="E28" s="53" t="n">
        <f aca="false">D28*C28</f>
        <v>7.95</v>
      </c>
      <c r="F28" s="54"/>
      <c r="G28" s="54"/>
      <c r="H28" s="54"/>
    </row>
    <row r="29" customFormat="false" ht="15.75" hidden="false" customHeight="false" outlineLevel="0" collapsed="false">
      <c r="A29" s="52"/>
      <c r="B29" s="37" t="s">
        <v>683</v>
      </c>
      <c r="C29" s="37" t="n">
        <v>0.03</v>
      </c>
      <c r="D29" s="53" t="n">
        <f aca="false">299/400*1000</f>
        <v>747.5</v>
      </c>
      <c r="E29" s="53" t="n">
        <f aca="false">D29*C29</f>
        <v>22.425</v>
      </c>
      <c r="F29" s="54"/>
      <c r="G29" s="54"/>
      <c r="H29" s="54"/>
    </row>
    <row r="30" customFormat="false" ht="15.75" hidden="false" customHeight="false" outlineLevel="0" collapsed="false">
      <c r="A30" s="52"/>
      <c r="B30" s="37" t="s">
        <v>684</v>
      </c>
      <c r="C30" s="37" t="n">
        <v>0.02</v>
      </c>
      <c r="D30" s="37" t="n">
        <v>109</v>
      </c>
      <c r="E30" s="53" t="n">
        <f aca="false">D30*C30</f>
        <v>2.18</v>
      </c>
      <c r="F30" s="54"/>
      <c r="G30" s="54"/>
      <c r="H30" s="54"/>
    </row>
    <row r="32" customFormat="false" ht="15.75" hidden="false" customHeight="false" outlineLevel="0" collapsed="false">
      <c r="A32" s="52" t="s">
        <v>685</v>
      </c>
      <c r="B32" s="37" t="s">
        <v>686</v>
      </c>
      <c r="C32" s="37" t="n">
        <v>0.4</v>
      </c>
      <c r="D32" s="37" t="n">
        <v>77</v>
      </c>
      <c r="E32" s="53" t="n">
        <f aca="false">D32*C32</f>
        <v>30.8</v>
      </c>
      <c r="F32" s="54" t="n">
        <f aca="false">SUM(E32:E35)</f>
        <v>133.598</v>
      </c>
      <c r="G32" s="55"/>
      <c r="H32" s="55"/>
    </row>
    <row r="33" customFormat="false" ht="15.75" hidden="false" customHeight="false" outlineLevel="0" collapsed="false">
      <c r="A33" s="52"/>
      <c r="B33" s="37" t="s">
        <v>687</v>
      </c>
      <c r="C33" s="37" t="n">
        <v>0.3</v>
      </c>
      <c r="D33" s="37" t="n">
        <v>185</v>
      </c>
      <c r="E33" s="53" t="n">
        <f aca="false">D33*C33</f>
        <v>55.5</v>
      </c>
      <c r="F33" s="54"/>
      <c r="G33" s="54"/>
      <c r="H33" s="54"/>
    </row>
    <row r="34" customFormat="false" ht="15.75" hidden="false" customHeight="false" outlineLevel="0" collapsed="false">
      <c r="A34" s="52"/>
      <c r="B34" s="37" t="s">
        <v>688</v>
      </c>
      <c r="C34" s="37" t="n">
        <v>0.15</v>
      </c>
      <c r="D34" s="37" t="n">
        <v>105</v>
      </c>
      <c r="E34" s="53" t="n">
        <f aca="false">D34*C34</f>
        <v>15.75</v>
      </c>
      <c r="F34" s="54"/>
      <c r="G34" s="54"/>
      <c r="H34" s="54"/>
    </row>
    <row r="35" customFormat="false" ht="15.75" hidden="false" customHeight="false" outlineLevel="0" collapsed="false">
      <c r="A35" s="52"/>
      <c r="B35" s="37" t="s">
        <v>689</v>
      </c>
      <c r="C35" s="37" t="n">
        <v>0.15</v>
      </c>
      <c r="D35" s="37" t="n">
        <v>210.32</v>
      </c>
      <c r="E35" s="53" t="n">
        <f aca="false">D35*C35</f>
        <v>31.548</v>
      </c>
      <c r="F35" s="54"/>
      <c r="G35" s="54"/>
      <c r="H35" s="54"/>
    </row>
    <row r="37" customFormat="false" ht="15.75" hidden="false" customHeight="false" outlineLevel="0" collapsed="false">
      <c r="A37" s="52" t="s">
        <v>690</v>
      </c>
      <c r="B37" s="37" t="s">
        <v>691</v>
      </c>
      <c r="C37" s="37" t="n">
        <v>0.22</v>
      </c>
      <c r="D37" s="37" t="n">
        <v>57.18</v>
      </c>
      <c r="E37" s="53" t="n">
        <f aca="false">D37*C37</f>
        <v>12.5796</v>
      </c>
      <c r="F37" s="54" t="n">
        <f aca="false">SUM(E37:E40)</f>
        <v>94.25215</v>
      </c>
      <c r="G37" s="55"/>
      <c r="H37" s="55"/>
    </row>
    <row r="38" customFormat="false" ht="15.75" hidden="false" customHeight="false" outlineLevel="0" collapsed="false">
      <c r="A38" s="52"/>
      <c r="B38" s="37" t="s">
        <v>692</v>
      </c>
      <c r="C38" s="37" t="n">
        <v>0.03</v>
      </c>
      <c r="D38" s="37" t="n">
        <v>1327.01</v>
      </c>
      <c r="E38" s="53" t="n">
        <f aca="false">D38*C38</f>
        <v>39.8103</v>
      </c>
      <c r="F38" s="54"/>
      <c r="G38" s="54"/>
      <c r="H38" s="54"/>
    </row>
    <row r="39" customFormat="false" ht="15.75" hidden="false" customHeight="false" outlineLevel="0" collapsed="false">
      <c r="A39" s="52"/>
      <c r="B39" s="37" t="s">
        <v>693</v>
      </c>
      <c r="C39" s="37" t="n">
        <v>0.015</v>
      </c>
      <c r="D39" s="37" t="n">
        <v>1565.15</v>
      </c>
      <c r="E39" s="53" t="n">
        <f aca="false">D39*C39</f>
        <v>23.47725</v>
      </c>
      <c r="F39" s="54"/>
      <c r="G39" s="54"/>
      <c r="H39" s="54"/>
    </row>
    <row r="40" customFormat="false" ht="15.75" hidden="false" customHeight="false" outlineLevel="0" collapsed="false">
      <c r="A40" s="52"/>
      <c r="B40" s="37" t="s">
        <v>694</v>
      </c>
      <c r="C40" s="37" t="n">
        <v>0.005</v>
      </c>
      <c r="D40" s="37" t="n">
        <v>3677</v>
      </c>
      <c r="E40" s="53" t="n">
        <f aca="false">D40*C40</f>
        <v>18.385</v>
      </c>
      <c r="F40" s="54"/>
      <c r="G40" s="54"/>
      <c r="H40" s="54"/>
    </row>
    <row r="42" customFormat="false" ht="15.75" hidden="false" customHeight="false" outlineLevel="0" collapsed="false">
      <c r="A42" s="52" t="s">
        <v>695</v>
      </c>
      <c r="B42" s="37" t="s">
        <v>696</v>
      </c>
      <c r="C42" s="37" t="n">
        <v>0.36</v>
      </c>
      <c r="D42" s="37" t="n">
        <v>334.55</v>
      </c>
      <c r="E42" s="53" t="n">
        <f aca="false">D42*C42</f>
        <v>120.438</v>
      </c>
      <c r="F42" s="54" t="n">
        <f aca="false">SUM(E42:E51)+10</f>
        <v>174.674979</v>
      </c>
      <c r="G42" s="56" t="n">
        <v>800</v>
      </c>
      <c r="H42" s="54" t="n">
        <f aca="false">(G42-F42)/F42*100</f>
        <v>357.993471406114</v>
      </c>
    </row>
    <row r="43" customFormat="false" ht="15.75" hidden="false" customHeight="false" outlineLevel="0" collapsed="false">
      <c r="A43" s="52"/>
      <c r="B43" s="37" t="s">
        <v>697</v>
      </c>
      <c r="C43" s="37" t="n">
        <v>0.28</v>
      </c>
      <c r="D43" s="37" t="n">
        <v>78</v>
      </c>
      <c r="E43" s="53" t="n">
        <f aca="false">D43*C43</f>
        <v>21.84</v>
      </c>
      <c r="F43" s="54"/>
      <c r="G43" s="54"/>
      <c r="H43" s="54"/>
    </row>
    <row r="44" customFormat="false" ht="15.75" hidden="false" customHeight="false" outlineLevel="0" collapsed="false">
      <c r="A44" s="52"/>
      <c r="B44" s="37" t="s">
        <v>698</v>
      </c>
      <c r="C44" s="37" t="n">
        <v>0.03</v>
      </c>
      <c r="D44" s="53" t="n">
        <f aca="false">F2</f>
        <v>162.4973</v>
      </c>
      <c r="E44" s="53" t="n">
        <f aca="false">D44*C44</f>
        <v>4.874919</v>
      </c>
      <c r="F44" s="54"/>
      <c r="G44" s="54"/>
      <c r="H44" s="54"/>
    </row>
    <row r="45" customFormat="false" ht="15.75" hidden="false" customHeight="false" outlineLevel="0" collapsed="false">
      <c r="A45" s="52"/>
      <c r="B45" s="37" t="s">
        <v>699</v>
      </c>
      <c r="C45" s="37" t="n">
        <v>0.002</v>
      </c>
      <c r="D45" s="37" t="n">
        <v>339</v>
      </c>
      <c r="E45" s="53" t="n">
        <f aca="false">D45*C45</f>
        <v>0.678</v>
      </c>
      <c r="F45" s="54"/>
      <c r="G45" s="54"/>
      <c r="H45" s="54"/>
    </row>
    <row r="46" customFormat="false" ht="15.75" hidden="false" customHeight="false" outlineLevel="0" collapsed="false">
      <c r="A46" s="52"/>
      <c r="B46" s="37" t="s">
        <v>700</v>
      </c>
      <c r="C46" s="37" t="n">
        <v>0.01</v>
      </c>
      <c r="D46" s="37" t="n">
        <v>210.94</v>
      </c>
      <c r="E46" s="53" t="n">
        <f aca="false">D46*C46</f>
        <v>2.1094</v>
      </c>
      <c r="F46" s="54"/>
      <c r="G46" s="54"/>
      <c r="H46" s="54"/>
    </row>
    <row r="47" customFormat="false" ht="15.75" hidden="false" customHeight="false" outlineLevel="0" collapsed="false">
      <c r="A47" s="52"/>
      <c r="B47" s="37" t="s">
        <v>701</v>
      </c>
      <c r="C47" s="37" t="n">
        <v>0.005</v>
      </c>
      <c r="D47" s="37" t="n">
        <v>345</v>
      </c>
      <c r="E47" s="53" t="n">
        <f aca="false">D47*C47</f>
        <v>1.725</v>
      </c>
      <c r="F47" s="54"/>
      <c r="G47" s="54"/>
      <c r="H47" s="54"/>
    </row>
    <row r="48" customFormat="false" ht="15.75" hidden="false" customHeight="false" outlineLevel="0" collapsed="false">
      <c r="A48" s="52"/>
      <c r="B48" s="37" t="s">
        <v>679</v>
      </c>
      <c r="C48" s="37" t="n">
        <v>0.005</v>
      </c>
      <c r="D48" s="37" t="n">
        <v>109</v>
      </c>
      <c r="E48" s="53" t="n">
        <f aca="false">D48*C48</f>
        <v>0.545</v>
      </c>
      <c r="F48" s="54"/>
      <c r="G48" s="54"/>
      <c r="H48" s="54"/>
    </row>
    <row r="49" customFormat="false" ht="15.75" hidden="false" customHeight="false" outlineLevel="0" collapsed="false">
      <c r="A49" s="52"/>
      <c r="B49" s="37" t="s">
        <v>702</v>
      </c>
      <c r="C49" s="37" t="n">
        <v>0.002</v>
      </c>
      <c r="D49" s="37" t="n">
        <v>257.58</v>
      </c>
      <c r="E49" s="53" t="n">
        <f aca="false">D49*C49</f>
        <v>0.51516</v>
      </c>
      <c r="F49" s="54"/>
      <c r="G49" s="54"/>
      <c r="H49" s="54"/>
    </row>
    <row r="50" customFormat="false" ht="15.75" hidden="false" customHeight="false" outlineLevel="0" collapsed="false">
      <c r="A50" s="52"/>
      <c r="B50" s="37" t="s">
        <v>703</v>
      </c>
      <c r="C50" s="37" t="n">
        <v>0.005</v>
      </c>
      <c r="D50" s="37" t="n">
        <v>394</v>
      </c>
      <c r="E50" s="53" t="n">
        <f aca="false">D50*C50</f>
        <v>1.97</v>
      </c>
      <c r="F50" s="54"/>
      <c r="G50" s="54"/>
      <c r="H50" s="54"/>
    </row>
    <row r="51" customFormat="false" ht="15.75" hidden="false" customHeight="false" outlineLevel="0" collapsed="false">
      <c r="A51" s="52"/>
      <c r="B51" s="37" t="s">
        <v>704</v>
      </c>
      <c r="C51" s="37" t="n">
        <v>0.03</v>
      </c>
      <c r="D51" s="37" t="n">
        <v>332.65</v>
      </c>
      <c r="E51" s="53" t="n">
        <f aca="false">D51*C51</f>
        <v>9.9795</v>
      </c>
      <c r="F51" s="54"/>
      <c r="G51" s="54"/>
      <c r="H51" s="54"/>
    </row>
    <row r="53" customFormat="false" ht="15.75" hidden="false" customHeight="false" outlineLevel="0" collapsed="false">
      <c r="A53" s="52" t="s">
        <v>705</v>
      </c>
      <c r="B53" s="37" t="s">
        <v>691</v>
      </c>
      <c r="C53" s="37" t="n">
        <v>0.22</v>
      </c>
      <c r="D53" s="37" t="n">
        <v>57.18</v>
      </c>
      <c r="E53" s="53" t="n">
        <f aca="false">D53*C53</f>
        <v>12.5796</v>
      </c>
      <c r="F53" s="54" t="n">
        <f aca="false">SUM(E53:E62)+10</f>
        <v>221.61171</v>
      </c>
      <c r="G53" s="56" t="n">
        <v>950</v>
      </c>
      <c r="H53" s="54" t="n">
        <f aca="false">(G53-F53)/F53*100</f>
        <v>328.677708411708</v>
      </c>
    </row>
    <row r="54" customFormat="false" ht="15.75" hidden="false" customHeight="false" outlineLevel="0" collapsed="false">
      <c r="A54" s="52"/>
      <c r="B54" s="37" t="s">
        <v>706</v>
      </c>
      <c r="C54" s="37" t="n">
        <v>0.09</v>
      </c>
      <c r="D54" s="37" t="n">
        <v>530.68</v>
      </c>
      <c r="E54" s="53" t="n">
        <f aca="false">D54*C54</f>
        <v>47.7612</v>
      </c>
      <c r="F54" s="54"/>
      <c r="G54" s="54"/>
      <c r="H54" s="54"/>
    </row>
    <row r="55" customFormat="false" ht="15.75" hidden="false" customHeight="false" outlineLevel="0" collapsed="false">
      <c r="A55" s="52"/>
      <c r="B55" s="37" t="s">
        <v>707</v>
      </c>
      <c r="C55" s="37" t="n">
        <v>0.02</v>
      </c>
      <c r="D55" s="37" t="n">
        <v>919.32</v>
      </c>
      <c r="E55" s="53" t="n">
        <f aca="false">D55*C55</f>
        <v>18.3864</v>
      </c>
      <c r="F55" s="54"/>
      <c r="G55" s="54"/>
      <c r="H55" s="54"/>
    </row>
    <row r="56" customFormat="false" ht="15.75" hidden="false" customHeight="false" outlineLevel="0" collapsed="false">
      <c r="A56" s="52"/>
      <c r="B56" s="37" t="s">
        <v>708</v>
      </c>
      <c r="C56" s="37" t="n">
        <v>0.05</v>
      </c>
      <c r="D56" s="53" t="n">
        <f aca="false">F14</f>
        <v>437.3902</v>
      </c>
      <c r="E56" s="53" t="n">
        <f aca="false">D56*C56</f>
        <v>21.86951</v>
      </c>
      <c r="F56" s="54"/>
      <c r="G56" s="54"/>
      <c r="H56" s="54"/>
    </row>
    <row r="57" customFormat="false" ht="15.75" hidden="false" customHeight="false" outlineLevel="0" collapsed="false">
      <c r="A57" s="52"/>
      <c r="B57" s="37" t="s">
        <v>709</v>
      </c>
      <c r="C57" s="37" t="n">
        <v>0.04</v>
      </c>
      <c r="D57" s="37" t="n">
        <v>1348.32</v>
      </c>
      <c r="E57" s="53" t="n">
        <f aca="false">D57*C57</f>
        <v>53.9328</v>
      </c>
      <c r="F57" s="54"/>
      <c r="G57" s="54"/>
      <c r="H57" s="54"/>
    </row>
    <row r="58" customFormat="false" ht="15.75" hidden="false" customHeight="false" outlineLevel="0" collapsed="false">
      <c r="A58" s="52"/>
      <c r="B58" s="37" t="s">
        <v>710</v>
      </c>
      <c r="C58" s="37" t="n">
        <v>0.02</v>
      </c>
      <c r="D58" s="37" t="n">
        <v>402.45</v>
      </c>
      <c r="E58" s="53" t="n">
        <f aca="false">D58*C58</f>
        <v>8.049</v>
      </c>
      <c r="F58" s="54"/>
      <c r="G58" s="54"/>
      <c r="H58" s="54"/>
    </row>
    <row r="59" customFormat="false" ht="15.75" hidden="false" customHeight="false" outlineLevel="0" collapsed="false">
      <c r="A59" s="52"/>
      <c r="B59" s="37" t="s">
        <v>711</v>
      </c>
      <c r="C59" s="37" t="n">
        <v>0.03</v>
      </c>
      <c r="D59" s="37" t="n">
        <v>445.98</v>
      </c>
      <c r="E59" s="53" t="n">
        <f aca="false">D59*C59</f>
        <v>13.3794</v>
      </c>
      <c r="F59" s="54"/>
      <c r="G59" s="54"/>
      <c r="H59" s="54"/>
    </row>
    <row r="60" customFormat="false" ht="15.75" hidden="false" customHeight="false" outlineLevel="0" collapsed="false">
      <c r="A60" s="52"/>
      <c r="B60" s="37" t="s">
        <v>712</v>
      </c>
      <c r="C60" s="37" t="n">
        <v>0.03</v>
      </c>
      <c r="D60" s="37" t="n">
        <v>597.2</v>
      </c>
      <c r="E60" s="53" t="n">
        <f aca="false">D60*C60</f>
        <v>17.916</v>
      </c>
      <c r="F60" s="54"/>
      <c r="G60" s="54"/>
      <c r="H60" s="54"/>
    </row>
    <row r="61" customFormat="false" ht="15.75" hidden="false" customHeight="false" outlineLevel="0" collapsed="false">
      <c r="A61" s="52"/>
      <c r="B61" s="37" t="s">
        <v>713</v>
      </c>
      <c r="C61" s="37" t="n">
        <v>0.02</v>
      </c>
      <c r="D61" s="37" t="n">
        <v>756.89</v>
      </c>
      <c r="E61" s="53" t="n">
        <f aca="false">D61*C61</f>
        <v>15.1378</v>
      </c>
      <c r="F61" s="54"/>
      <c r="G61" s="54"/>
      <c r="H61" s="54"/>
    </row>
    <row r="62" customFormat="false" ht="15.75" hidden="false" customHeight="false" outlineLevel="0" collapsed="false">
      <c r="A62" s="52"/>
      <c r="B62" s="37" t="s">
        <v>714</v>
      </c>
      <c r="C62" s="37" t="n">
        <v>0.02</v>
      </c>
      <c r="D62" s="37" t="n">
        <v>130</v>
      </c>
      <c r="E62" s="53" t="n">
        <f aca="false">D62*C62</f>
        <v>2.6</v>
      </c>
      <c r="F62" s="54"/>
      <c r="G62" s="54"/>
      <c r="H62" s="54"/>
    </row>
    <row r="64" customFormat="false" ht="15.75" hidden="false" customHeight="false" outlineLevel="0" collapsed="false">
      <c r="A64" s="52" t="s">
        <v>715</v>
      </c>
      <c r="B64" s="37" t="s">
        <v>691</v>
      </c>
      <c r="C64" s="37" t="n">
        <v>0.22</v>
      </c>
      <c r="D64" s="37" t="n">
        <v>57.18</v>
      </c>
      <c r="E64" s="53" t="n">
        <f aca="false">D64*C64</f>
        <v>12.5796</v>
      </c>
      <c r="F64" s="54" t="n">
        <f aca="false">SUM(E64:E71)+10</f>
        <v>234.5232</v>
      </c>
      <c r="G64" s="56" t="n">
        <v>950</v>
      </c>
      <c r="H64" s="54" t="n">
        <f aca="false">(G64-F64)/F64*100</f>
        <v>305.077194921441</v>
      </c>
    </row>
    <row r="65" customFormat="false" ht="15.75" hidden="false" customHeight="false" outlineLevel="0" collapsed="false">
      <c r="A65" s="52"/>
      <c r="B65" s="37" t="s">
        <v>716</v>
      </c>
      <c r="C65" s="37" t="n">
        <v>0.03</v>
      </c>
      <c r="D65" s="37" t="n">
        <v>434.2</v>
      </c>
      <c r="E65" s="53" t="n">
        <f aca="false">D65*C65</f>
        <v>13.026</v>
      </c>
      <c r="F65" s="54"/>
      <c r="G65" s="54"/>
      <c r="H65" s="54"/>
    </row>
    <row r="66" customFormat="false" ht="15.75" hidden="false" customHeight="false" outlineLevel="0" collapsed="false">
      <c r="A66" s="52"/>
      <c r="B66" s="37" t="s">
        <v>706</v>
      </c>
      <c r="C66" s="37" t="n">
        <v>0.09</v>
      </c>
      <c r="D66" s="37" t="n">
        <v>530.68</v>
      </c>
      <c r="E66" s="53" t="n">
        <f aca="false">D66*C66</f>
        <v>47.7612</v>
      </c>
      <c r="F66" s="54"/>
      <c r="G66" s="54"/>
      <c r="H66" s="54"/>
    </row>
    <row r="67" customFormat="false" ht="15.75" hidden="false" customHeight="false" outlineLevel="0" collapsed="false">
      <c r="A67" s="52"/>
      <c r="B67" s="37" t="s">
        <v>707</v>
      </c>
      <c r="C67" s="37" t="n">
        <v>0.02</v>
      </c>
      <c r="D67" s="37" t="n">
        <v>919.32</v>
      </c>
      <c r="E67" s="53" t="n">
        <f aca="false">D67*C67</f>
        <v>18.3864</v>
      </c>
      <c r="F67" s="54"/>
      <c r="G67" s="54"/>
      <c r="H67" s="54"/>
    </row>
    <row r="68" customFormat="false" ht="15.75" hidden="false" customHeight="false" outlineLevel="0" collapsed="false">
      <c r="A68" s="52"/>
      <c r="B68" s="37" t="s">
        <v>717</v>
      </c>
      <c r="C68" s="37" t="n">
        <v>0.15</v>
      </c>
      <c r="D68" s="37" t="n">
        <v>418</v>
      </c>
      <c r="E68" s="53" t="n">
        <f aca="false">D68*C68</f>
        <v>62.7</v>
      </c>
      <c r="F68" s="54"/>
      <c r="G68" s="54"/>
      <c r="H68" s="54"/>
    </row>
    <row r="69" customFormat="false" ht="15.75" hidden="false" customHeight="false" outlineLevel="0" collapsed="false">
      <c r="A69" s="52"/>
      <c r="B69" s="37" t="s">
        <v>718</v>
      </c>
      <c r="C69" s="37" t="n">
        <v>0.03</v>
      </c>
      <c r="D69" s="53" t="n">
        <f aca="false">126.1*10</f>
        <v>1261</v>
      </c>
      <c r="E69" s="53" t="n">
        <f aca="false">D69*C69</f>
        <v>37.83</v>
      </c>
      <c r="F69" s="54"/>
      <c r="G69" s="54"/>
      <c r="H69" s="54"/>
    </row>
    <row r="70" customFormat="false" ht="15.75" hidden="false" customHeight="false" outlineLevel="0" collapsed="false">
      <c r="A70" s="52"/>
      <c r="B70" s="37" t="s">
        <v>719</v>
      </c>
      <c r="C70" s="37" t="n">
        <v>0.01</v>
      </c>
      <c r="D70" s="37" t="n">
        <v>341</v>
      </c>
      <c r="E70" s="53" t="n">
        <f aca="false">D70*C70</f>
        <v>3.41</v>
      </c>
      <c r="F70" s="54"/>
      <c r="G70" s="54"/>
      <c r="H70" s="54"/>
    </row>
    <row r="71" customFormat="false" ht="15.75" hidden="false" customHeight="false" outlineLevel="0" collapsed="false">
      <c r="A71" s="52"/>
      <c r="B71" s="37" t="s">
        <v>720</v>
      </c>
      <c r="C71" s="37" t="n">
        <v>0.01</v>
      </c>
      <c r="D71" s="37" t="n">
        <v>2883</v>
      </c>
      <c r="E71" s="53" t="n">
        <f aca="false">D71*C71</f>
        <v>28.83</v>
      </c>
      <c r="F71" s="54"/>
      <c r="G71" s="54"/>
      <c r="H71" s="54"/>
    </row>
    <row r="73" customFormat="false" ht="15.75" hidden="false" customHeight="false" outlineLevel="0" collapsed="false">
      <c r="A73" s="52" t="s">
        <v>721</v>
      </c>
      <c r="B73" s="37" t="s">
        <v>691</v>
      </c>
      <c r="C73" s="37" t="n">
        <v>0.22</v>
      </c>
      <c r="D73" s="37" t="n">
        <v>57.18</v>
      </c>
      <c r="E73" s="53" t="n">
        <f aca="false">D73*C73</f>
        <v>12.5796</v>
      </c>
      <c r="F73" s="54" t="n">
        <f aca="false">SUM(E73:E79)+10</f>
        <v>140.2297</v>
      </c>
      <c r="G73" s="56" t="n">
        <v>700</v>
      </c>
      <c r="H73" s="54" t="n">
        <f aca="false">(G73-F73)/F73*100</f>
        <v>399.180986624089</v>
      </c>
    </row>
    <row r="74" customFormat="false" ht="15.75" hidden="false" customHeight="false" outlineLevel="0" collapsed="false">
      <c r="A74" s="52"/>
      <c r="B74" s="37" t="s">
        <v>722</v>
      </c>
      <c r="C74" s="37" t="n">
        <v>0.05</v>
      </c>
      <c r="D74" s="37" t="n">
        <v>314.07</v>
      </c>
      <c r="E74" s="53" t="n">
        <f aca="false">D74*C74</f>
        <v>15.7035</v>
      </c>
      <c r="F74" s="54"/>
      <c r="G74" s="54"/>
      <c r="H74" s="54"/>
    </row>
    <row r="75" customFormat="false" ht="15.75" hidden="false" customHeight="false" outlineLevel="0" collapsed="false">
      <c r="A75" s="52"/>
      <c r="B75" s="37" t="s">
        <v>706</v>
      </c>
      <c r="C75" s="37" t="n">
        <v>0.09</v>
      </c>
      <c r="D75" s="37" t="n">
        <v>530.68</v>
      </c>
      <c r="E75" s="53" t="n">
        <f aca="false">D75*C75</f>
        <v>47.7612</v>
      </c>
      <c r="F75" s="54"/>
      <c r="G75" s="54"/>
      <c r="H75" s="54"/>
    </row>
    <row r="76" customFormat="false" ht="15.75" hidden="false" customHeight="false" outlineLevel="0" collapsed="false">
      <c r="A76" s="52"/>
      <c r="B76" s="37" t="s">
        <v>707</v>
      </c>
      <c r="C76" s="37" t="n">
        <v>0.02</v>
      </c>
      <c r="D76" s="37" t="n">
        <v>919.32</v>
      </c>
      <c r="E76" s="53" t="n">
        <f aca="false">D76*C76</f>
        <v>18.3864</v>
      </c>
      <c r="F76" s="54"/>
      <c r="G76" s="54"/>
      <c r="H76" s="54"/>
    </row>
    <row r="77" customFormat="false" ht="15.75" hidden="false" customHeight="false" outlineLevel="0" collapsed="false">
      <c r="A77" s="52"/>
      <c r="B77" s="37" t="s">
        <v>723</v>
      </c>
      <c r="C77" s="37" t="n">
        <v>0.04</v>
      </c>
      <c r="D77" s="37" t="n">
        <v>666</v>
      </c>
      <c r="E77" s="53" t="n">
        <f aca="false">D77*C77</f>
        <v>26.64</v>
      </c>
      <c r="F77" s="54"/>
      <c r="G77" s="54"/>
      <c r="H77" s="54"/>
    </row>
    <row r="78" customFormat="false" ht="15.75" hidden="false" customHeight="false" outlineLevel="0" collapsed="false">
      <c r="A78" s="52"/>
      <c r="B78" s="37" t="s">
        <v>724</v>
      </c>
      <c r="C78" s="37" t="n">
        <v>0.02</v>
      </c>
      <c r="D78" s="37" t="n">
        <v>323</v>
      </c>
      <c r="E78" s="53" t="n">
        <f aca="false">D78*C78</f>
        <v>6.46</v>
      </c>
      <c r="F78" s="54"/>
      <c r="G78" s="54"/>
      <c r="H78" s="54"/>
    </row>
    <row r="79" customFormat="false" ht="15.75" hidden="false" customHeight="false" outlineLevel="0" collapsed="false">
      <c r="A79" s="52"/>
      <c r="B79" s="37" t="s">
        <v>725</v>
      </c>
      <c r="C79" s="37" t="n">
        <v>0.001</v>
      </c>
      <c r="D79" s="53" t="n">
        <f aca="false">26.99/10*1000</f>
        <v>2699</v>
      </c>
      <c r="E79" s="53" t="n">
        <f aca="false">D79*C79</f>
        <v>2.699</v>
      </c>
      <c r="F79" s="54"/>
      <c r="G79" s="54"/>
      <c r="H79" s="54"/>
    </row>
    <row r="81" customFormat="false" ht="15.75" hidden="false" customHeight="false" outlineLevel="0" collapsed="false">
      <c r="A81" s="52" t="s">
        <v>726</v>
      </c>
      <c r="B81" s="37" t="s">
        <v>727</v>
      </c>
      <c r="C81" s="37" t="n">
        <v>0.16</v>
      </c>
      <c r="D81" s="53" t="n">
        <f aca="false">F27</f>
        <v>298.155</v>
      </c>
      <c r="E81" s="53" t="n">
        <f aca="false">D81*C81</f>
        <v>47.7048</v>
      </c>
      <c r="F81" s="54" t="n">
        <f aca="false">SUM(E81:E91)+10</f>
        <v>459.606838</v>
      </c>
      <c r="G81" s="56" t="n">
        <v>3000</v>
      </c>
      <c r="H81" s="54" t="n">
        <f aca="false">(G81-F81)/F81*100</f>
        <v>552.73180291543</v>
      </c>
    </row>
    <row r="82" customFormat="false" ht="15.75" hidden="false" customHeight="false" outlineLevel="0" collapsed="false">
      <c r="A82" s="52"/>
      <c r="B82" s="37" t="s">
        <v>728</v>
      </c>
      <c r="C82" s="37" t="n">
        <v>0.2</v>
      </c>
      <c r="D82" s="53" t="n">
        <f aca="false">F14</f>
        <v>437.3902</v>
      </c>
      <c r="E82" s="53" t="n">
        <f aca="false">D82*C82</f>
        <v>87.47804</v>
      </c>
      <c r="F82" s="54"/>
      <c r="G82" s="54"/>
      <c r="H82" s="54"/>
    </row>
    <row r="83" customFormat="false" ht="15.75" hidden="false" customHeight="false" outlineLevel="0" collapsed="false">
      <c r="A83" s="52"/>
      <c r="B83" s="37" t="s">
        <v>729</v>
      </c>
      <c r="C83" s="37" t="n">
        <v>0.16</v>
      </c>
      <c r="D83" s="53" t="n">
        <f aca="false">F7</f>
        <v>358.4238</v>
      </c>
      <c r="E83" s="53" t="n">
        <f aca="false">D83*C83</f>
        <v>57.347808</v>
      </c>
      <c r="F83" s="54"/>
      <c r="G83" s="54"/>
      <c r="H83" s="54"/>
    </row>
    <row r="84" customFormat="false" ht="15.75" hidden="false" customHeight="false" outlineLevel="0" collapsed="false">
      <c r="A84" s="52"/>
      <c r="B84" s="37" t="s">
        <v>730</v>
      </c>
      <c r="C84" s="37" t="n">
        <v>0.16</v>
      </c>
      <c r="D84" s="37" t="n">
        <v>518.4</v>
      </c>
      <c r="E84" s="53" t="n">
        <f aca="false">D84*C84</f>
        <v>82.944</v>
      </c>
      <c r="F84" s="54"/>
      <c r="G84" s="54"/>
      <c r="H84" s="54"/>
    </row>
    <row r="85" customFormat="false" ht="15.75" hidden="false" customHeight="false" outlineLevel="0" collapsed="false">
      <c r="A85" s="52"/>
      <c r="B85" s="37" t="s">
        <v>731</v>
      </c>
      <c r="C85" s="37" t="n">
        <v>0.08</v>
      </c>
      <c r="D85" s="53" t="n">
        <f aca="false">F32</f>
        <v>133.598</v>
      </c>
      <c r="E85" s="53" t="n">
        <f aca="false">D85*C85</f>
        <v>10.68784</v>
      </c>
      <c r="F85" s="54"/>
      <c r="G85" s="54"/>
      <c r="H85" s="54"/>
    </row>
    <row r="86" customFormat="false" ht="15.75" hidden="false" customHeight="false" outlineLevel="0" collapsed="false">
      <c r="A86" s="52"/>
      <c r="B86" s="37" t="s">
        <v>732</v>
      </c>
      <c r="C86" s="37" t="n">
        <v>0.15</v>
      </c>
      <c r="D86" s="53" t="n">
        <f aca="false">25.5/150*1000</f>
        <v>170</v>
      </c>
      <c r="E86" s="53" t="n">
        <f aca="false">D86*C86</f>
        <v>25.5</v>
      </c>
      <c r="F86" s="54"/>
      <c r="G86" s="54"/>
      <c r="H86" s="54"/>
    </row>
    <row r="87" customFormat="false" ht="15.75" hidden="false" customHeight="false" outlineLevel="0" collapsed="false">
      <c r="A87" s="52"/>
      <c r="B87" s="37" t="s">
        <v>733</v>
      </c>
      <c r="C87" s="37" t="n">
        <v>0.05</v>
      </c>
      <c r="D87" s="37" t="n">
        <v>313.52</v>
      </c>
      <c r="E87" s="53" t="n">
        <f aca="false">D87*C87</f>
        <v>15.676</v>
      </c>
      <c r="F87" s="54"/>
      <c r="G87" s="54"/>
      <c r="H87" s="54"/>
    </row>
    <row r="88" customFormat="false" ht="15.75" hidden="false" customHeight="false" outlineLevel="0" collapsed="false">
      <c r="A88" s="52"/>
      <c r="B88" s="37" t="s">
        <v>734</v>
      </c>
      <c r="C88" s="37" t="n">
        <v>0.05</v>
      </c>
      <c r="D88" s="37" t="n">
        <v>192.71</v>
      </c>
      <c r="E88" s="53" t="n">
        <f aca="false">D88*C88</f>
        <v>9.6355</v>
      </c>
      <c r="F88" s="54"/>
      <c r="G88" s="54"/>
      <c r="H88" s="54"/>
    </row>
    <row r="89" customFormat="false" ht="15.75" hidden="false" customHeight="false" outlineLevel="0" collapsed="false">
      <c r="A89" s="52"/>
      <c r="B89" s="37" t="s">
        <v>735</v>
      </c>
      <c r="C89" s="37" t="n">
        <v>0.02</v>
      </c>
      <c r="D89" s="37" t="n">
        <v>331</v>
      </c>
      <c r="E89" s="53" t="n">
        <f aca="false">D89*C89</f>
        <v>6.62</v>
      </c>
      <c r="F89" s="54"/>
      <c r="G89" s="54"/>
      <c r="H89" s="54"/>
    </row>
    <row r="90" customFormat="false" ht="15.75" hidden="false" customHeight="false" outlineLevel="0" collapsed="false">
      <c r="A90" s="52"/>
      <c r="B90" s="37" t="s">
        <v>736</v>
      </c>
      <c r="C90" s="37" t="n">
        <v>0.01</v>
      </c>
      <c r="D90" s="37" t="n">
        <v>1176.07</v>
      </c>
      <c r="E90" s="53" t="n">
        <f aca="false">D90*C90</f>
        <v>11.7607</v>
      </c>
      <c r="F90" s="54"/>
      <c r="G90" s="54"/>
      <c r="H90" s="54"/>
    </row>
    <row r="91" customFormat="false" ht="15.75" hidden="false" customHeight="false" outlineLevel="0" collapsed="false">
      <c r="A91" s="52"/>
      <c r="B91" s="37" t="s">
        <v>737</v>
      </c>
      <c r="C91" s="37" t="n">
        <v>0.24</v>
      </c>
      <c r="E91" s="53" t="n">
        <f aca="false">F37</f>
        <v>94.25215</v>
      </c>
      <c r="F91" s="54"/>
      <c r="G91" s="54"/>
      <c r="H91" s="54"/>
    </row>
    <row r="92" customFormat="false" ht="15.75" hidden="false" customHeight="false" outlineLevel="0" collapsed="false">
      <c r="C92" s="37" t="n">
        <v>0.16</v>
      </c>
      <c r="D92" s="53" t="n">
        <f aca="false">F20</f>
        <v>346.656</v>
      </c>
      <c r="E92" s="53" t="n">
        <f aca="false">D92*C92</f>
        <v>55.46496</v>
      </c>
    </row>
  </sheetData>
  <mergeCells count="48">
    <mergeCell ref="A2:A5"/>
    <mergeCell ref="F2:F5"/>
    <mergeCell ref="G2:G5"/>
    <mergeCell ref="H2:H5"/>
    <mergeCell ref="A7:A12"/>
    <mergeCell ref="F7:F12"/>
    <mergeCell ref="G7:G12"/>
    <mergeCell ref="H7:H12"/>
    <mergeCell ref="A14:A18"/>
    <mergeCell ref="F14:F18"/>
    <mergeCell ref="G14:G18"/>
    <mergeCell ref="H14:H18"/>
    <mergeCell ref="A20:A25"/>
    <mergeCell ref="F20:F25"/>
    <mergeCell ref="G20:G25"/>
    <mergeCell ref="H20:H25"/>
    <mergeCell ref="A27:A30"/>
    <mergeCell ref="F27:F30"/>
    <mergeCell ref="G27:G30"/>
    <mergeCell ref="H27:H30"/>
    <mergeCell ref="A32:A35"/>
    <mergeCell ref="F32:F35"/>
    <mergeCell ref="G32:G35"/>
    <mergeCell ref="H32:H35"/>
    <mergeCell ref="A37:A40"/>
    <mergeCell ref="F37:F40"/>
    <mergeCell ref="G37:G40"/>
    <mergeCell ref="H37:H40"/>
    <mergeCell ref="A42:A51"/>
    <mergeCell ref="F42:F51"/>
    <mergeCell ref="G42:G51"/>
    <mergeCell ref="H42:H51"/>
    <mergeCell ref="A53:A62"/>
    <mergeCell ref="F53:F62"/>
    <mergeCell ref="G53:G62"/>
    <mergeCell ref="H53:H62"/>
    <mergeCell ref="A64:A71"/>
    <mergeCell ref="F64:F71"/>
    <mergeCell ref="G64:G71"/>
    <mergeCell ref="H64:H71"/>
    <mergeCell ref="A73:A79"/>
    <mergeCell ref="F73:F79"/>
    <mergeCell ref="G73:G79"/>
    <mergeCell ref="H73:H79"/>
    <mergeCell ref="A81:A91"/>
    <mergeCell ref="F81:F91"/>
    <mergeCell ref="G81:G91"/>
    <mergeCell ref="H81:H9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60.25"/>
    <col collapsed="false" customWidth="true" hidden="false" outlineLevel="0" max="2" min="2" style="0" width="16.49"/>
    <col collapsed="false" customWidth="true" hidden="false" outlineLevel="0" max="3" min="3" style="0" width="0.38"/>
    <col collapsed="false" customWidth="true" hidden="false" outlineLevel="0" max="4" min="4" style="0" width="9.38"/>
    <col collapsed="false" customWidth="true" hidden="false" outlineLevel="0" max="1025" min="5" style="0" width="12.63"/>
  </cols>
  <sheetData>
    <row r="1" customFormat="false" ht="15.75" hidden="false" customHeight="false" outlineLevel="0" collapsed="false">
      <c r="A1" s="57" t="s">
        <v>738</v>
      </c>
      <c r="B1" s="58" t="s">
        <v>655</v>
      </c>
      <c r="C1" s="59" t="s">
        <v>4</v>
      </c>
      <c r="D1" s="59" t="s">
        <v>739</v>
      </c>
    </row>
    <row r="2" customFormat="false" ht="15.75" hidden="false" customHeight="false" outlineLevel="0" collapsed="false">
      <c r="A2" s="57" t="s">
        <v>740</v>
      </c>
      <c r="B2" s="60"/>
      <c r="C2" s="61"/>
      <c r="D2" s="61"/>
    </row>
    <row r="3" customFormat="false" ht="15.75" hidden="false" customHeight="false" outlineLevel="0" collapsed="false">
      <c r="A3" s="62" t="s">
        <v>741</v>
      </c>
      <c r="B3" s="60" t="n">
        <v>1700</v>
      </c>
      <c r="C3" s="63" t="n">
        <v>334.96</v>
      </c>
      <c r="D3" s="64" t="n">
        <f aca="false">(B3-C3)/C3*100</f>
        <v>407.523286362551</v>
      </c>
    </row>
    <row r="4" customFormat="false" ht="15.75" hidden="false" customHeight="false" outlineLevel="0" collapsed="false">
      <c r="A4" s="62" t="s">
        <v>742</v>
      </c>
      <c r="B4" s="60" t="n">
        <v>1900</v>
      </c>
      <c r="C4" s="63" t="n">
        <v>292.22</v>
      </c>
      <c r="D4" s="63" t="n">
        <f aca="false">(B4-C4)/C4*100</f>
        <v>550.195058517555</v>
      </c>
    </row>
    <row r="5" customFormat="false" ht="15.75" hidden="false" customHeight="false" outlineLevel="0" collapsed="false">
      <c r="A5" s="62" t="s">
        <v>743</v>
      </c>
      <c r="B5" s="60" t="n">
        <v>1900</v>
      </c>
      <c r="C5" s="63" t="n">
        <v>276.53</v>
      </c>
      <c r="D5" s="63" t="n">
        <f aca="false">(B5-C5)/C5*100</f>
        <v>587.086392073193</v>
      </c>
    </row>
    <row r="6" customFormat="false" ht="15.75" hidden="false" customHeight="false" outlineLevel="0" collapsed="false">
      <c r="A6" s="62" t="s">
        <v>744</v>
      </c>
      <c r="B6" s="60" t="n">
        <v>1200</v>
      </c>
      <c r="C6" s="63" t="n">
        <v>210.92</v>
      </c>
      <c r="D6" s="65" t="n">
        <f aca="false">(B6-C6)/C6*100</f>
        <v>468.936089512611</v>
      </c>
    </row>
    <row r="7" customFormat="false" ht="15.75" hidden="false" customHeight="false" outlineLevel="0" collapsed="false">
      <c r="A7" s="62" t="s">
        <v>745</v>
      </c>
      <c r="B7" s="60" t="n">
        <v>2800</v>
      </c>
      <c r="C7" s="63" t="n">
        <f aca="false">'кухня 22.10'!F81</f>
        <v>459.606838</v>
      </c>
      <c r="D7" s="63" t="n">
        <f aca="false">(B7-C7)/C7*100</f>
        <v>509.216349387735</v>
      </c>
    </row>
    <row r="8" customFormat="false" ht="15.75" hidden="false" customHeight="false" outlineLevel="0" collapsed="false">
      <c r="A8" s="62"/>
      <c r="B8" s="60"/>
      <c r="C8" s="63"/>
      <c r="D8" s="63"/>
    </row>
    <row r="9" customFormat="false" ht="15.75" hidden="false" customHeight="false" outlineLevel="0" collapsed="false">
      <c r="A9" s="57" t="s">
        <v>746</v>
      </c>
      <c r="B9" s="60"/>
      <c r="C9" s="63"/>
      <c r="D9" s="63"/>
    </row>
    <row r="10" customFormat="false" ht="15.75" hidden="false" customHeight="false" outlineLevel="0" collapsed="false">
      <c r="A10" s="62" t="s">
        <v>747</v>
      </c>
      <c r="B10" s="60" t="n">
        <v>750</v>
      </c>
      <c r="C10" s="63" t="n">
        <v>129.19</v>
      </c>
      <c r="D10" s="65" t="n">
        <f aca="false">(B10-C10)/C10*100</f>
        <v>480.540289496091</v>
      </c>
    </row>
    <row r="11" customFormat="false" ht="15.75" hidden="false" customHeight="false" outlineLevel="0" collapsed="false">
      <c r="A11" s="62" t="s">
        <v>748</v>
      </c>
      <c r="B11" s="60" t="n">
        <v>750</v>
      </c>
      <c r="C11" s="63" t="n">
        <v>163.57</v>
      </c>
      <c r="D11" s="64" t="n">
        <f aca="false">(B11-C11)/C11*100</f>
        <v>358.519288378064</v>
      </c>
    </row>
    <row r="12" customFormat="false" ht="15.75" hidden="false" customHeight="false" outlineLevel="0" collapsed="false">
      <c r="A12" s="62" t="s">
        <v>749</v>
      </c>
      <c r="B12" s="60" t="n">
        <v>750</v>
      </c>
      <c r="C12" s="63" t="n">
        <v>150.24</v>
      </c>
      <c r="D12" s="64" t="n">
        <f aca="false">(B12-C12)/C12*100</f>
        <v>399.201277955272</v>
      </c>
    </row>
    <row r="13" customFormat="false" ht="15.75" hidden="false" customHeight="false" outlineLevel="0" collapsed="false">
      <c r="A13" s="62" t="s">
        <v>750</v>
      </c>
      <c r="B13" s="60" t="n">
        <v>350</v>
      </c>
      <c r="C13" s="63" t="n">
        <v>56.77</v>
      </c>
      <c r="D13" s="64" t="n">
        <f aca="false">(B13-C13)/C13*100</f>
        <v>516.52281134402</v>
      </c>
    </row>
    <row r="14" customFormat="false" ht="15.75" hidden="false" customHeight="false" outlineLevel="0" collapsed="false">
      <c r="A14" s="66" t="s">
        <v>751</v>
      </c>
      <c r="B14" s="60" t="n">
        <v>200</v>
      </c>
      <c r="C14" s="63" t="n">
        <v>37.58</v>
      </c>
      <c r="D14" s="63" t="n">
        <f aca="false">(B14-C14)/C14*100</f>
        <v>432.197977647685</v>
      </c>
    </row>
    <row r="15" customFormat="false" ht="15.75" hidden="false" customHeight="false" outlineLevel="0" collapsed="false">
      <c r="A15" s="67" t="s">
        <v>752</v>
      </c>
      <c r="B15" s="60" t="n">
        <v>350</v>
      </c>
      <c r="C15" s="63" t="n">
        <v>91.24</v>
      </c>
      <c r="D15" s="64" t="n">
        <f aca="false">(B15-C15)/C15*100</f>
        <v>283.603682595353</v>
      </c>
    </row>
    <row r="16" customFormat="false" ht="15.75" hidden="false" customHeight="false" outlineLevel="0" collapsed="false">
      <c r="A16" s="62" t="s">
        <v>753</v>
      </c>
      <c r="B16" s="60" t="n">
        <v>800</v>
      </c>
      <c r="C16" s="63" t="n">
        <v>189.55</v>
      </c>
      <c r="D16" s="64" t="n">
        <f aca="false">(B16-C16)/C16*100</f>
        <v>322.052228963334</v>
      </c>
    </row>
    <row r="17" customFormat="false" ht="15.75" hidden="false" customHeight="false" outlineLevel="0" collapsed="false">
      <c r="A17" s="62" t="s">
        <v>754</v>
      </c>
      <c r="B17" s="60" t="n">
        <v>600</v>
      </c>
      <c r="C17" s="63" t="n">
        <v>101.57</v>
      </c>
      <c r="D17" s="65" t="n">
        <f aca="false">(B17-C17)/C17*100</f>
        <v>490.725607955105</v>
      </c>
    </row>
    <row r="18" customFormat="false" ht="15.75" hidden="false" customHeight="false" outlineLevel="0" collapsed="false">
      <c r="A18" s="62" t="s">
        <v>755</v>
      </c>
      <c r="B18" s="60" t="n">
        <v>800</v>
      </c>
      <c r="C18" s="63" t="n">
        <f aca="false">'кухня 22.10'!F42</f>
        <v>174.674979</v>
      </c>
      <c r="D18" s="65" t="n">
        <f aca="false">(B18-C18)/C18*100</f>
        <v>357.993471406114</v>
      </c>
    </row>
    <row r="19" customFormat="false" ht="15.75" hidden="false" customHeight="false" outlineLevel="0" collapsed="false">
      <c r="A19" s="62"/>
      <c r="B19" s="60"/>
      <c r="C19" s="63"/>
      <c r="D19" s="63"/>
    </row>
    <row r="20" customFormat="false" ht="15.75" hidden="false" customHeight="false" outlineLevel="0" collapsed="false">
      <c r="A20" s="57" t="s">
        <v>756</v>
      </c>
      <c r="B20" s="60"/>
      <c r="C20" s="63"/>
      <c r="D20" s="63"/>
    </row>
    <row r="21" customFormat="false" ht="15.75" hidden="false" customHeight="false" outlineLevel="0" collapsed="false">
      <c r="A21" s="62" t="s">
        <v>757</v>
      </c>
      <c r="B21" s="60" t="n">
        <v>600</v>
      </c>
      <c r="C21" s="63" t="n">
        <v>144.49</v>
      </c>
      <c r="D21" s="64" t="n">
        <f aca="false">(B21-C21)/C21*100</f>
        <v>315.25365077168</v>
      </c>
    </row>
    <row r="22" customFormat="false" ht="15.75" hidden="false" customHeight="false" outlineLevel="0" collapsed="false">
      <c r="A22" s="62" t="s">
        <v>758</v>
      </c>
      <c r="B22" s="60" t="n">
        <v>750</v>
      </c>
      <c r="C22" s="63" t="n">
        <v>182.62</v>
      </c>
      <c r="D22" s="64" t="n">
        <f aca="false">(B22-C22)/C22*100</f>
        <v>310.688862118059</v>
      </c>
    </row>
    <row r="23" customFormat="false" ht="15.75" hidden="false" customHeight="false" outlineLevel="0" collapsed="false">
      <c r="A23" s="66" t="s">
        <v>759</v>
      </c>
      <c r="B23" s="60" t="n">
        <v>450</v>
      </c>
      <c r="C23" s="63" t="n">
        <v>102.99</v>
      </c>
      <c r="D23" s="65" t="n">
        <f aca="false">(B23-C23)/C23*100</f>
        <v>336.935624817943</v>
      </c>
    </row>
    <row r="24" customFormat="false" ht="15.75" hidden="false" customHeight="false" outlineLevel="0" collapsed="false">
      <c r="A24" s="62"/>
      <c r="B24" s="60"/>
      <c r="C24" s="63"/>
      <c r="D24" s="63"/>
    </row>
    <row r="25" customFormat="false" ht="15.75" hidden="false" customHeight="false" outlineLevel="0" collapsed="false">
      <c r="A25" s="68" t="s">
        <v>760</v>
      </c>
      <c r="B25" s="60"/>
      <c r="C25" s="63"/>
      <c r="D25" s="63"/>
    </row>
    <row r="26" customFormat="false" ht="15.75" hidden="false" customHeight="false" outlineLevel="0" collapsed="false">
      <c r="A26" s="66" t="s">
        <v>761</v>
      </c>
      <c r="B26" s="60" t="n">
        <v>350</v>
      </c>
      <c r="C26" s="63" t="n">
        <v>64.96</v>
      </c>
      <c r="D26" s="63" t="n">
        <f aca="false">(B26-C26)/C26*100</f>
        <v>438.793103448276</v>
      </c>
    </row>
    <row r="27" customFormat="false" ht="15.75" hidden="false" customHeight="false" outlineLevel="0" collapsed="false">
      <c r="A27" s="62"/>
      <c r="B27" s="60"/>
      <c r="C27" s="63"/>
      <c r="D27" s="63"/>
    </row>
    <row r="28" customFormat="false" ht="15.75" hidden="false" customHeight="false" outlineLevel="0" collapsed="false">
      <c r="A28" s="57" t="s">
        <v>762</v>
      </c>
      <c r="B28" s="60"/>
      <c r="C28" s="63"/>
      <c r="D28" s="63"/>
    </row>
    <row r="29" customFormat="false" ht="15.75" hidden="false" customHeight="false" outlineLevel="0" collapsed="false">
      <c r="A29" s="62" t="s">
        <v>763</v>
      </c>
      <c r="B29" s="60" t="n">
        <v>650</v>
      </c>
      <c r="C29" s="63" t="n">
        <v>138.69</v>
      </c>
      <c r="D29" s="64" t="n">
        <f aca="false">(B29-C29)/C29*100</f>
        <v>368.671137068282</v>
      </c>
    </row>
    <row r="30" customFormat="false" ht="15.75" hidden="false" customHeight="false" outlineLevel="0" collapsed="false">
      <c r="A30" s="66" t="s">
        <v>764</v>
      </c>
      <c r="B30" s="60" t="n">
        <v>1000</v>
      </c>
      <c r="C30" s="63" t="n">
        <v>243.44</v>
      </c>
      <c r="D30" s="65" t="n">
        <f aca="false">(B30-C30)/C30*100</f>
        <v>310.778836674335</v>
      </c>
    </row>
    <row r="31" customFormat="false" ht="15.75" hidden="false" customHeight="false" outlineLevel="0" collapsed="false">
      <c r="A31" s="62" t="s">
        <v>765</v>
      </c>
      <c r="B31" s="60" t="n">
        <v>500</v>
      </c>
      <c r="C31" s="63" t="n">
        <v>62.23</v>
      </c>
      <c r="D31" s="63" t="n">
        <f aca="false">(B31-C31)/C31*100</f>
        <v>703.470994697091</v>
      </c>
    </row>
    <row r="32" customFormat="false" ht="15.75" hidden="false" customHeight="false" outlineLevel="0" collapsed="false">
      <c r="A32" s="62" t="s">
        <v>766</v>
      </c>
      <c r="B32" s="60" t="n">
        <v>450</v>
      </c>
      <c r="C32" s="63" t="n">
        <v>85.38</v>
      </c>
      <c r="D32" s="65" t="n">
        <f aca="false">(B32-C32)/C32*100</f>
        <v>427.055516514406</v>
      </c>
    </row>
    <row r="33" customFormat="false" ht="15.75" hidden="false" customHeight="false" outlineLevel="0" collapsed="false">
      <c r="A33" s="66" t="s">
        <v>767</v>
      </c>
      <c r="B33" s="60" t="n">
        <v>650</v>
      </c>
      <c r="C33" s="63" t="n">
        <v>154.69</v>
      </c>
      <c r="D33" s="65" t="n">
        <f aca="false">(B33-C33)/C33*100</f>
        <v>320.195229168013</v>
      </c>
    </row>
    <row r="34" customFormat="false" ht="15.75" hidden="false" customHeight="false" outlineLevel="0" collapsed="false">
      <c r="A34" s="62"/>
      <c r="B34" s="60"/>
      <c r="C34" s="63"/>
      <c r="D34" s="63"/>
    </row>
    <row r="35" customFormat="false" ht="15.75" hidden="false" customHeight="false" outlineLevel="0" collapsed="false">
      <c r="A35" s="68" t="s">
        <v>768</v>
      </c>
      <c r="B35" s="60"/>
      <c r="C35" s="63"/>
      <c r="D35" s="63"/>
    </row>
    <row r="36" customFormat="false" ht="15.75" hidden="false" customHeight="false" outlineLevel="0" collapsed="false">
      <c r="A36" s="66" t="s">
        <v>769</v>
      </c>
      <c r="B36" s="60" t="n">
        <v>700</v>
      </c>
      <c r="C36" s="63" t="n">
        <v>165.1</v>
      </c>
      <c r="D36" s="65" t="n">
        <f aca="false">(B36-C36)/C36*100</f>
        <v>323.985463355542</v>
      </c>
    </row>
    <row r="37" customFormat="false" ht="15.75" hidden="false" customHeight="false" outlineLevel="0" collapsed="false">
      <c r="A37" s="62"/>
      <c r="B37" s="60"/>
      <c r="C37" s="63"/>
      <c r="D37" s="63"/>
    </row>
    <row r="38" customFormat="false" ht="15.75" hidden="false" customHeight="false" outlineLevel="0" collapsed="false">
      <c r="A38" s="57" t="s">
        <v>770</v>
      </c>
      <c r="B38" s="60"/>
      <c r="C38" s="63"/>
      <c r="D38" s="63"/>
    </row>
    <row r="39" customFormat="false" ht="15.75" hidden="false" customHeight="false" outlineLevel="0" collapsed="false">
      <c r="A39" s="62" t="s">
        <v>771</v>
      </c>
      <c r="B39" s="60" t="n">
        <v>800</v>
      </c>
      <c r="C39" s="63" t="n">
        <v>146.92</v>
      </c>
      <c r="D39" s="65" t="n">
        <f aca="false">(B39-C39)/C39*100</f>
        <v>444.514021236047</v>
      </c>
    </row>
    <row r="40" customFormat="false" ht="15.75" hidden="false" customHeight="false" outlineLevel="0" collapsed="false">
      <c r="A40" s="62" t="s">
        <v>772</v>
      </c>
      <c r="B40" s="60" t="n">
        <v>950</v>
      </c>
      <c r="C40" s="63" t="n">
        <v>209.76</v>
      </c>
      <c r="D40" s="64" t="n">
        <f aca="false">(B40-C40)/C40*100</f>
        <v>352.898550724638</v>
      </c>
    </row>
    <row r="41" customFormat="false" ht="15.75" hidden="false" customHeight="false" outlineLevel="0" collapsed="false">
      <c r="A41" s="62" t="s">
        <v>773</v>
      </c>
      <c r="B41" s="60" t="n">
        <v>900</v>
      </c>
      <c r="C41" s="63" t="n">
        <v>177.09</v>
      </c>
      <c r="D41" s="64" t="n">
        <f aca="false">(B41-C41)/C41*100</f>
        <v>408.216161273929</v>
      </c>
    </row>
    <row r="42" customFormat="false" ht="15.75" hidden="false" customHeight="false" outlineLevel="0" collapsed="false">
      <c r="A42" s="62" t="s">
        <v>774</v>
      </c>
      <c r="B42" s="60" t="n">
        <v>700</v>
      </c>
      <c r="C42" s="63" t="n">
        <v>128.42</v>
      </c>
      <c r="D42" s="63" t="n">
        <f aca="false">(B42-C42)/C42*100</f>
        <v>445.086435134714</v>
      </c>
    </row>
    <row r="43" customFormat="false" ht="15.75" hidden="false" customHeight="false" outlineLevel="0" collapsed="false">
      <c r="A43" s="62" t="s">
        <v>775</v>
      </c>
      <c r="B43" s="60" t="n">
        <v>950</v>
      </c>
      <c r="C43" s="63" t="n">
        <f aca="false">'кухня 22.10'!F53</f>
        <v>221.61171</v>
      </c>
      <c r="D43" s="65" t="n">
        <f aca="false">(B43-C43)/C43*100</f>
        <v>328.677708411708</v>
      </c>
    </row>
    <row r="44" customFormat="false" ht="15.75" hidden="false" customHeight="false" outlineLevel="0" collapsed="false">
      <c r="A44" s="62" t="s">
        <v>776</v>
      </c>
      <c r="B44" s="60" t="n">
        <v>950</v>
      </c>
      <c r="C44" s="63" t="n">
        <f aca="false">'кухня 22.10'!F64</f>
        <v>234.5232</v>
      </c>
      <c r="D44" s="65" t="n">
        <f aca="false">(B44-C44)/C44*100</f>
        <v>305.077194921441</v>
      </c>
    </row>
    <row r="45" customFormat="false" ht="15.75" hidden="false" customHeight="false" outlineLevel="0" collapsed="false">
      <c r="A45" s="62" t="s">
        <v>777</v>
      </c>
      <c r="B45" s="60" t="n">
        <v>700</v>
      </c>
      <c r="C45" s="63" t="n">
        <f aca="false">'кухня 22.10'!F73</f>
        <v>140.2297</v>
      </c>
      <c r="D45" s="65" t="n">
        <f aca="false">(B45-C45)/C45*100</f>
        <v>399.180986624089</v>
      </c>
    </row>
    <row r="46" customFormat="false" ht="15.75" hidden="false" customHeight="false" outlineLevel="0" collapsed="false">
      <c r="A46" s="62" t="s">
        <v>778</v>
      </c>
      <c r="B46" s="60" t="n">
        <v>150</v>
      </c>
      <c r="C46" s="63" t="n">
        <v>15.38</v>
      </c>
      <c r="D46" s="63" t="n">
        <f aca="false">(B46-C46)/C46*100</f>
        <v>875.292587776333</v>
      </c>
    </row>
    <row r="47" customFormat="false" ht="15.75" hidden="false" customHeight="false" outlineLevel="0" collapsed="false">
      <c r="A47" s="62"/>
      <c r="B47" s="60"/>
      <c r="C47" s="63"/>
      <c r="D47" s="63"/>
    </row>
    <row r="48" customFormat="false" ht="15.75" hidden="false" customHeight="false" outlineLevel="0" collapsed="false">
      <c r="A48" s="57" t="s">
        <v>779</v>
      </c>
      <c r="B48" s="60"/>
      <c r="C48" s="63"/>
      <c r="D48" s="63"/>
    </row>
    <row r="49" customFormat="false" ht="15.75" hidden="false" customHeight="false" outlineLevel="0" collapsed="false">
      <c r="A49" s="62" t="s">
        <v>780</v>
      </c>
      <c r="B49" s="60" t="n">
        <v>700</v>
      </c>
      <c r="C49" s="63" t="n">
        <v>143.09</v>
      </c>
      <c r="D49" s="64" t="n">
        <f aca="false">(B49-C49)/C49*100</f>
        <v>389.202599762387</v>
      </c>
    </row>
    <row r="50" customFormat="false" ht="15.75" hidden="false" customHeight="false" outlineLevel="0" collapsed="false">
      <c r="A50" s="62" t="s">
        <v>781</v>
      </c>
      <c r="B50" s="60" t="n">
        <v>700</v>
      </c>
      <c r="C50" s="63" t="n">
        <v>136.69</v>
      </c>
      <c r="D50" s="65" t="n">
        <f aca="false">(B50-C50)/C50*100</f>
        <v>412.107688931158</v>
      </c>
    </row>
    <row r="51" customFormat="false" ht="15.75" hidden="false" customHeight="false" outlineLevel="0" collapsed="false">
      <c r="A51" s="62" t="s">
        <v>782</v>
      </c>
      <c r="B51" s="60" t="n">
        <v>650</v>
      </c>
      <c r="C51" s="63" t="n">
        <v>93.83</v>
      </c>
      <c r="D51" s="65" t="n">
        <f aca="false">(B51-C51)/C51*100</f>
        <v>592.74219332836</v>
      </c>
    </row>
    <row r="52" customFormat="false" ht="15.75" hidden="false" customHeight="false" outlineLevel="0" collapsed="false">
      <c r="A52" s="62"/>
      <c r="B52" s="60"/>
      <c r="C52" s="63"/>
      <c r="D52" s="63"/>
    </row>
    <row r="53" customFormat="false" ht="15.75" hidden="false" customHeight="false" outlineLevel="0" collapsed="false">
      <c r="A53" s="57" t="s">
        <v>783</v>
      </c>
      <c r="B53" s="60"/>
      <c r="C53" s="63"/>
      <c r="D53" s="63"/>
    </row>
    <row r="54" customFormat="false" ht="15.75" hidden="false" customHeight="false" outlineLevel="0" collapsed="false">
      <c r="A54" s="62" t="s">
        <v>784</v>
      </c>
      <c r="B54" s="60" t="n">
        <v>600</v>
      </c>
      <c r="C54" s="63" t="n">
        <v>93.76</v>
      </c>
      <c r="D54" s="65" t="n">
        <f aca="false">(B54-C54)/C54*100</f>
        <v>539.931740614334</v>
      </c>
    </row>
    <row r="55" customFormat="false" ht="15.75" hidden="false" customHeight="false" outlineLevel="0" collapsed="false">
      <c r="A55" s="62" t="s">
        <v>785</v>
      </c>
      <c r="B55" s="60" t="n">
        <v>600</v>
      </c>
      <c r="C55" s="63" t="n">
        <v>114.95</v>
      </c>
      <c r="D55" s="65" t="n">
        <f aca="false">(B55-C55)/C55*100</f>
        <v>421.966072205307</v>
      </c>
    </row>
    <row r="56" customFormat="false" ht="15.75" hidden="false" customHeight="false" outlineLevel="0" collapsed="false">
      <c r="A56" s="62" t="s">
        <v>786</v>
      </c>
      <c r="B56" s="60" t="n">
        <v>550</v>
      </c>
      <c r="C56" s="63" t="n">
        <v>84.85</v>
      </c>
      <c r="D56" s="63" t="n">
        <f aca="false">(B56-C56)/C56*100</f>
        <v>548.202710665881</v>
      </c>
    </row>
    <row r="57" customFormat="false" ht="15.75" hidden="false" customHeight="false" outlineLevel="0" collapsed="false">
      <c r="A57" s="62"/>
      <c r="B57" s="60"/>
      <c r="C57" s="61"/>
      <c r="D57" s="61"/>
    </row>
    <row r="58" customFormat="false" ht="15.75" hidden="false" customHeight="false" outlineLevel="0" collapsed="false">
      <c r="A58" s="68" t="s">
        <v>787</v>
      </c>
      <c r="B58" s="60" t="n">
        <v>350</v>
      </c>
      <c r="C58" s="61" t="s">
        <v>788</v>
      </c>
      <c r="D58" s="61" t="e">
        <f aca="false">(B58-C58)/C58*100</f>
        <v>#VALUE!</v>
      </c>
    </row>
    <row r="59" customFormat="false" ht="15.75" hidden="false" customHeight="false" outlineLevel="0" collapsed="false">
      <c r="A59" s="62"/>
      <c r="B59" s="60"/>
      <c r="C59" s="61"/>
      <c r="D59" s="61"/>
    </row>
    <row r="60" customFormat="false" ht="15.75" hidden="false" customHeight="false" outlineLevel="0" collapsed="false">
      <c r="A60" s="69"/>
      <c r="B60" s="70"/>
      <c r="C60" s="71"/>
      <c r="D60" s="71"/>
    </row>
    <row r="61" customFormat="false" ht="15.75" hidden="false" customHeight="false" outlineLevel="0" collapsed="false">
      <c r="A61" s="69"/>
      <c r="B61" s="70"/>
      <c r="C61" s="71"/>
      <c r="D61" s="71"/>
    </row>
    <row r="62" customFormat="false" ht="15.75" hidden="false" customHeight="false" outlineLevel="0" collapsed="false">
      <c r="A62" s="69"/>
      <c r="B62" s="70"/>
      <c r="C62" s="71"/>
      <c r="D62" s="71"/>
    </row>
    <row r="63" customFormat="false" ht="15.75" hidden="false" customHeight="false" outlineLevel="0" collapsed="false">
      <c r="A63" s="69"/>
      <c r="B63" s="70"/>
      <c r="C63" s="71"/>
      <c r="D63" s="71"/>
    </row>
    <row r="64" customFormat="false" ht="15.75" hidden="false" customHeight="false" outlineLevel="0" collapsed="false">
      <c r="A64" s="69"/>
      <c r="B64" s="70"/>
      <c r="C64" s="71"/>
      <c r="D64" s="71"/>
    </row>
    <row r="65" customFormat="false" ht="15.75" hidden="false" customHeight="false" outlineLevel="0" collapsed="false">
      <c r="A65" s="69"/>
      <c r="B65" s="70"/>
      <c r="C65" s="71"/>
      <c r="D65" s="71"/>
    </row>
    <row r="66" customFormat="false" ht="15.75" hidden="false" customHeight="false" outlineLevel="0" collapsed="false">
      <c r="A66" s="69"/>
      <c r="B66" s="70"/>
      <c r="C66" s="71"/>
      <c r="D66" s="71"/>
    </row>
    <row r="67" customFormat="false" ht="15.75" hidden="false" customHeight="false" outlineLevel="0" collapsed="false">
      <c r="A67" s="69"/>
      <c r="B67" s="70"/>
      <c r="C67" s="71"/>
      <c r="D67" s="71"/>
    </row>
    <row r="68" customFormat="false" ht="15.75" hidden="false" customHeight="false" outlineLevel="0" collapsed="false">
      <c r="A68" s="69"/>
      <c r="B68" s="70"/>
      <c r="C68" s="71"/>
      <c r="D68" s="71"/>
    </row>
    <row r="69" customFormat="false" ht="15.75" hidden="false" customHeight="false" outlineLevel="0" collapsed="false">
      <c r="A69" s="69"/>
      <c r="B69" s="70"/>
      <c r="C69" s="71"/>
      <c r="D69" s="71"/>
    </row>
    <row r="70" customFormat="false" ht="15.75" hidden="false" customHeight="false" outlineLevel="0" collapsed="false">
      <c r="A70" s="69"/>
      <c r="B70" s="70"/>
      <c r="C70" s="71"/>
      <c r="D70" s="71"/>
    </row>
    <row r="71" customFormat="false" ht="15.75" hidden="false" customHeight="false" outlineLevel="0" collapsed="false">
      <c r="A71" s="69"/>
      <c r="B71" s="70"/>
      <c r="C71" s="71"/>
      <c r="D71" s="71"/>
    </row>
    <row r="72" customFormat="false" ht="15.75" hidden="false" customHeight="false" outlineLevel="0" collapsed="false">
      <c r="A72" s="69"/>
      <c r="B72" s="70"/>
      <c r="C72" s="71"/>
      <c r="D72" s="71"/>
    </row>
    <row r="73" customFormat="false" ht="15.75" hidden="false" customHeight="false" outlineLevel="0" collapsed="false">
      <c r="A73" s="69"/>
      <c r="B73" s="70"/>
      <c r="C73" s="71"/>
      <c r="D73" s="71"/>
    </row>
    <row r="74" customFormat="false" ht="15.75" hidden="false" customHeight="false" outlineLevel="0" collapsed="false">
      <c r="A74" s="69"/>
      <c r="B74" s="70"/>
      <c r="C74" s="71"/>
      <c r="D74" s="71"/>
    </row>
    <row r="75" customFormat="false" ht="15.75" hidden="false" customHeight="false" outlineLevel="0" collapsed="false">
      <c r="A75" s="69"/>
      <c r="B75" s="70"/>
      <c r="C75" s="71"/>
      <c r="D75" s="71"/>
    </row>
    <row r="76" customFormat="false" ht="15.75" hidden="false" customHeight="false" outlineLevel="0" collapsed="false">
      <c r="A76" s="69"/>
      <c r="B76" s="70"/>
      <c r="C76" s="71"/>
      <c r="D76" s="71"/>
    </row>
    <row r="77" customFormat="false" ht="15.75" hidden="false" customHeight="false" outlineLevel="0" collapsed="false">
      <c r="A77" s="69"/>
      <c r="B77" s="70"/>
      <c r="C77" s="71"/>
      <c r="D77" s="71"/>
    </row>
    <row r="78" customFormat="false" ht="15.75" hidden="false" customHeight="false" outlineLevel="0" collapsed="false">
      <c r="A78" s="69"/>
      <c r="B78" s="70"/>
      <c r="C78" s="71"/>
      <c r="D78" s="71"/>
    </row>
    <row r="79" customFormat="false" ht="15.75" hidden="false" customHeight="false" outlineLevel="0" collapsed="false">
      <c r="A79" s="69"/>
      <c r="B79" s="70"/>
      <c r="C79" s="71"/>
      <c r="D79" s="71"/>
    </row>
    <row r="80" customFormat="false" ht="15.75" hidden="false" customHeight="false" outlineLevel="0" collapsed="false">
      <c r="A80" s="69"/>
      <c r="B80" s="70"/>
      <c r="C80" s="71"/>
      <c r="D80" s="71"/>
    </row>
    <row r="81" customFormat="false" ht="15.75" hidden="false" customHeight="false" outlineLevel="0" collapsed="false">
      <c r="A81" s="69"/>
      <c r="B81" s="70"/>
      <c r="C81" s="71"/>
      <c r="D81" s="71"/>
    </row>
    <row r="82" customFormat="false" ht="15.75" hidden="false" customHeight="false" outlineLevel="0" collapsed="false">
      <c r="A82" s="69"/>
      <c r="B82" s="70"/>
      <c r="C82" s="71"/>
      <c r="D82" s="71"/>
    </row>
    <row r="83" customFormat="false" ht="15.75" hidden="false" customHeight="false" outlineLevel="0" collapsed="false">
      <c r="A83" s="69"/>
      <c r="B83" s="70"/>
      <c r="C83" s="71"/>
      <c r="D83" s="71"/>
    </row>
    <row r="84" customFormat="false" ht="15.75" hidden="false" customHeight="false" outlineLevel="0" collapsed="false">
      <c r="A84" s="69"/>
      <c r="B84" s="70"/>
      <c r="C84" s="71"/>
      <c r="D84" s="71"/>
    </row>
    <row r="85" customFormat="false" ht="15.75" hidden="false" customHeight="false" outlineLevel="0" collapsed="false">
      <c r="A85" s="69"/>
      <c r="B85" s="70"/>
      <c r="C85" s="71"/>
      <c r="D85" s="71"/>
    </row>
    <row r="86" customFormat="false" ht="15.75" hidden="false" customHeight="false" outlineLevel="0" collapsed="false">
      <c r="A86" s="69"/>
      <c r="B86" s="70"/>
      <c r="C86" s="71"/>
      <c r="D86" s="71"/>
    </row>
    <row r="87" customFormat="false" ht="15.75" hidden="false" customHeight="false" outlineLevel="0" collapsed="false">
      <c r="A87" s="69"/>
      <c r="B87" s="70"/>
      <c r="C87" s="71"/>
      <c r="D87" s="71"/>
    </row>
    <row r="88" customFormat="false" ht="15.75" hidden="false" customHeight="false" outlineLevel="0" collapsed="false">
      <c r="A88" s="69"/>
      <c r="B88" s="70"/>
      <c r="C88" s="71"/>
      <c r="D88" s="71"/>
    </row>
    <row r="89" customFormat="false" ht="15.75" hidden="false" customHeight="false" outlineLevel="0" collapsed="false">
      <c r="A89" s="69"/>
      <c r="B89" s="70"/>
      <c r="C89" s="71"/>
      <c r="D89" s="71"/>
    </row>
    <row r="90" customFormat="false" ht="15.75" hidden="false" customHeight="false" outlineLevel="0" collapsed="false">
      <c r="A90" s="69"/>
      <c r="B90" s="70"/>
      <c r="C90" s="71"/>
      <c r="D90" s="71"/>
    </row>
    <row r="91" customFormat="false" ht="15.75" hidden="false" customHeight="false" outlineLevel="0" collapsed="false">
      <c r="A91" s="69"/>
      <c r="B91" s="70"/>
      <c r="C91" s="71"/>
      <c r="D91" s="71"/>
    </row>
    <row r="92" customFormat="false" ht="15.75" hidden="false" customHeight="false" outlineLevel="0" collapsed="false">
      <c r="A92" s="69"/>
      <c r="B92" s="70"/>
      <c r="C92" s="71"/>
      <c r="D92" s="71"/>
    </row>
    <row r="93" customFormat="false" ht="15.75" hidden="false" customHeight="false" outlineLevel="0" collapsed="false">
      <c r="A93" s="69"/>
      <c r="B93" s="70"/>
      <c r="C93" s="71"/>
      <c r="D93" s="71"/>
    </row>
    <row r="94" customFormat="false" ht="15.75" hidden="false" customHeight="false" outlineLevel="0" collapsed="false">
      <c r="A94" s="69"/>
      <c r="B94" s="70"/>
      <c r="C94" s="71"/>
      <c r="D94" s="71"/>
    </row>
    <row r="95" customFormat="false" ht="15.75" hidden="false" customHeight="false" outlineLevel="0" collapsed="false">
      <c r="A95" s="69"/>
      <c r="B95" s="70"/>
      <c r="C95" s="71"/>
      <c r="D95" s="71"/>
    </row>
    <row r="96" customFormat="false" ht="15.75" hidden="false" customHeight="false" outlineLevel="0" collapsed="false">
      <c r="A96" s="69"/>
      <c r="B96" s="70"/>
      <c r="C96" s="71"/>
      <c r="D96" s="71"/>
    </row>
    <row r="97" customFormat="false" ht="15.75" hidden="false" customHeight="false" outlineLevel="0" collapsed="false">
      <c r="A97" s="69"/>
      <c r="B97" s="70"/>
      <c r="C97" s="71"/>
      <c r="D97" s="71"/>
    </row>
    <row r="98" customFormat="false" ht="15.75" hidden="false" customHeight="false" outlineLevel="0" collapsed="false">
      <c r="A98" s="69"/>
      <c r="B98" s="70"/>
      <c r="C98" s="71"/>
      <c r="D98" s="71"/>
    </row>
    <row r="99" customFormat="false" ht="15.75" hidden="false" customHeight="false" outlineLevel="0" collapsed="false">
      <c r="A99" s="69"/>
      <c r="B99" s="70"/>
      <c r="C99" s="71"/>
      <c r="D99" s="71"/>
    </row>
    <row r="100" customFormat="false" ht="15.75" hidden="false" customHeight="false" outlineLevel="0" collapsed="false">
      <c r="A100" s="69"/>
      <c r="B100" s="70"/>
      <c r="C100" s="71"/>
      <c r="D100" s="71"/>
    </row>
    <row r="101" customFormat="false" ht="15.75" hidden="false" customHeight="false" outlineLevel="0" collapsed="false">
      <c r="A101" s="69"/>
      <c r="B101" s="70"/>
      <c r="C101" s="71"/>
      <c r="D101" s="71"/>
    </row>
    <row r="102" customFormat="false" ht="15.75" hidden="false" customHeight="false" outlineLevel="0" collapsed="false">
      <c r="A102" s="69"/>
      <c r="B102" s="70"/>
      <c r="C102" s="71"/>
      <c r="D102" s="71"/>
    </row>
    <row r="103" customFormat="false" ht="15.75" hidden="false" customHeight="false" outlineLevel="0" collapsed="false">
      <c r="A103" s="69"/>
      <c r="B103" s="70"/>
      <c r="C103" s="71"/>
      <c r="D103" s="71"/>
    </row>
    <row r="104" customFormat="false" ht="15.75" hidden="false" customHeight="false" outlineLevel="0" collapsed="false">
      <c r="A104" s="69"/>
      <c r="B104" s="70"/>
      <c r="C104" s="71"/>
      <c r="D104" s="71"/>
    </row>
    <row r="105" customFormat="false" ht="15.75" hidden="false" customHeight="false" outlineLevel="0" collapsed="false">
      <c r="A105" s="69"/>
      <c r="B105" s="70"/>
      <c r="C105" s="71"/>
      <c r="D105" s="71"/>
    </row>
    <row r="106" customFormat="false" ht="15.75" hidden="false" customHeight="false" outlineLevel="0" collapsed="false">
      <c r="A106" s="69"/>
      <c r="B106" s="70"/>
      <c r="C106" s="71"/>
      <c r="D106" s="71"/>
    </row>
    <row r="107" customFormat="false" ht="15.75" hidden="false" customHeight="false" outlineLevel="0" collapsed="false">
      <c r="A107" s="69"/>
      <c r="B107" s="70"/>
      <c r="C107" s="71"/>
      <c r="D107" s="71"/>
    </row>
    <row r="108" customFormat="false" ht="15.75" hidden="false" customHeight="false" outlineLevel="0" collapsed="false">
      <c r="A108" s="69"/>
      <c r="B108" s="70"/>
      <c r="C108" s="71"/>
      <c r="D108" s="71"/>
    </row>
    <row r="109" customFormat="false" ht="15.75" hidden="false" customHeight="false" outlineLevel="0" collapsed="false">
      <c r="A109" s="69"/>
      <c r="B109" s="70"/>
      <c r="C109" s="71"/>
      <c r="D109" s="71"/>
    </row>
    <row r="110" customFormat="false" ht="15.75" hidden="false" customHeight="false" outlineLevel="0" collapsed="false">
      <c r="A110" s="69"/>
      <c r="B110" s="70"/>
      <c r="C110" s="71"/>
      <c r="D110" s="71"/>
    </row>
    <row r="111" customFormat="false" ht="15.75" hidden="false" customHeight="false" outlineLevel="0" collapsed="false">
      <c r="A111" s="69"/>
      <c r="B111" s="70"/>
      <c r="C111" s="71"/>
      <c r="D111" s="71"/>
    </row>
    <row r="112" customFormat="false" ht="15.75" hidden="false" customHeight="false" outlineLevel="0" collapsed="false">
      <c r="A112" s="69"/>
      <c r="B112" s="70"/>
      <c r="C112" s="71"/>
      <c r="D112" s="71"/>
    </row>
    <row r="113" customFormat="false" ht="15.75" hidden="false" customHeight="false" outlineLevel="0" collapsed="false">
      <c r="A113" s="69"/>
      <c r="B113" s="70"/>
      <c r="C113" s="71"/>
      <c r="D113" s="71"/>
    </row>
    <row r="114" customFormat="false" ht="15.75" hidden="false" customHeight="false" outlineLevel="0" collapsed="false">
      <c r="A114" s="69"/>
      <c r="B114" s="70"/>
      <c r="C114" s="71"/>
      <c r="D114" s="71"/>
    </row>
    <row r="115" customFormat="false" ht="15.75" hidden="false" customHeight="false" outlineLevel="0" collapsed="false">
      <c r="A115" s="69"/>
      <c r="B115" s="70"/>
      <c r="C115" s="71"/>
      <c r="D115" s="71"/>
    </row>
    <row r="116" customFormat="false" ht="15.75" hidden="false" customHeight="false" outlineLevel="0" collapsed="false">
      <c r="A116" s="69"/>
      <c r="B116" s="70"/>
      <c r="C116" s="71"/>
      <c r="D116" s="71"/>
    </row>
    <row r="117" customFormat="false" ht="15.75" hidden="false" customHeight="false" outlineLevel="0" collapsed="false">
      <c r="A117" s="69"/>
      <c r="B117" s="70"/>
      <c r="C117" s="71"/>
      <c r="D117" s="71"/>
    </row>
    <row r="118" customFormat="false" ht="15.75" hidden="false" customHeight="false" outlineLevel="0" collapsed="false">
      <c r="A118" s="69"/>
      <c r="B118" s="70"/>
      <c r="C118" s="71"/>
      <c r="D118" s="71"/>
    </row>
    <row r="119" customFormat="false" ht="15.75" hidden="false" customHeight="false" outlineLevel="0" collapsed="false">
      <c r="A119" s="69"/>
      <c r="B119" s="70"/>
      <c r="C119" s="71"/>
      <c r="D119" s="71"/>
    </row>
    <row r="120" customFormat="false" ht="15.75" hidden="false" customHeight="false" outlineLevel="0" collapsed="false">
      <c r="A120" s="69"/>
      <c r="B120" s="70"/>
      <c r="C120" s="71"/>
      <c r="D120" s="71"/>
    </row>
    <row r="121" customFormat="false" ht="15.75" hidden="false" customHeight="false" outlineLevel="0" collapsed="false">
      <c r="A121" s="69"/>
      <c r="B121" s="70"/>
      <c r="C121" s="71"/>
      <c r="D121" s="71"/>
    </row>
    <row r="122" customFormat="false" ht="15.75" hidden="false" customHeight="false" outlineLevel="0" collapsed="false">
      <c r="A122" s="69"/>
      <c r="B122" s="70"/>
      <c r="C122" s="71"/>
      <c r="D122" s="71"/>
    </row>
    <row r="123" customFormat="false" ht="15.75" hidden="false" customHeight="false" outlineLevel="0" collapsed="false">
      <c r="A123" s="69"/>
      <c r="B123" s="70"/>
      <c r="C123" s="71"/>
      <c r="D123" s="71"/>
    </row>
    <row r="124" customFormat="false" ht="15.75" hidden="false" customHeight="false" outlineLevel="0" collapsed="false">
      <c r="A124" s="69"/>
      <c r="B124" s="70"/>
      <c r="C124" s="71"/>
      <c r="D124" s="71"/>
    </row>
    <row r="125" customFormat="false" ht="15.75" hidden="false" customHeight="false" outlineLevel="0" collapsed="false">
      <c r="A125" s="69"/>
      <c r="B125" s="70"/>
      <c r="C125" s="71"/>
      <c r="D125" s="71"/>
    </row>
    <row r="126" customFormat="false" ht="15.75" hidden="false" customHeight="false" outlineLevel="0" collapsed="false">
      <c r="A126" s="69"/>
      <c r="B126" s="70"/>
      <c r="C126" s="71"/>
      <c r="D126" s="71"/>
    </row>
    <row r="127" customFormat="false" ht="15.75" hidden="false" customHeight="false" outlineLevel="0" collapsed="false">
      <c r="A127" s="69"/>
      <c r="B127" s="70"/>
      <c r="C127" s="71"/>
      <c r="D127" s="71"/>
    </row>
    <row r="128" customFormat="false" ht="15.75" hidden="false" customHeight="false" outlineLevel="0" collapsed="false">
      <c r="A128" s="69"/>
      <c r="B128" s="70"/>
      <c r="C128" s="71"/>
      <c r="D128" s="71"/>
    </row>
    <row r="129" customFormat="false" ht="15.75" hidden="false" customHeight="false" outlineLevel="0" collapsed="false">
      <c r="A129" s="69"/>
      <c r="B129" s="70"/>
      <c r="C129" s="71"/>
      <c r="D129" s="71"/>
    </row>
    <row r="130" customFormat="false" ht="15.75" hidden="false" customHeight="false" outlineLevel="0" collapsed="false">
      <c r="A130" s="69"/>
      <c r="B130" s="70"/>
      <c r="C130" s="71"/>
      <c r="D130" s="71"/>
    </row>
    <row r="131" customFormat="false" ht="15.75" hidden="false" customHeight="false" outlineLevel="0" collapsed="false">
      <c r="A131" s="69"/>
      <c r="B131" s="70"/>
      <c r="C131" s="71"/>
      <c r="D131" s="71"/>
    </row>
    <row r="132" customFormat="false" ht="15.75" hidden="false" customHeight="false" outlineLevel="0" collapsed="false">
      <c r="A132" s="69"/>
      <c r="B132" s="70"/>
      <c r="C132" s="71"/>
      <c r="D132" s="71"/>
    </row>
    <row r="133" customFormat="false" ht="15.75" hidden="false" customHeight="false" outlineLevel="0" collapsed="false">
      <c r="A133" s="69"/>
      <c r="B133" s="70"/>
      <c r="C133" s="71"/>
      <c r="D133" s="71"/>
    </row>
    <row r="134" customFormat="false" ht="15.75" hidden="false" customHeight="false" outlineLevel="0" collapsed="false">
      <c r="A134" s="69"/>
      <c r="B134" s="70"/>
      <c r="C134" s="71"/>
      <c r="D134" s="71"/>
    </row>
    <row r="135" customFormat="false" ht="15.75" hidden="false" customHeight="false" outlineLevel="0" collapsed="false">
      <c r="A135" s="69"/>
      <c r="B135" s="70"/>
      <c r="C135" s="71"/>
      <c r="D135" s="71"/>
    </row>
    <row r="136" customFormat="false" ht="15.75" hidden="false" customHeight="false" outlineLevel="0" collapsed="false">
      <c r="A136" s="69"/>
      <c r="B136" s="70"/>
      <c r="C136" s="71"/>
      <c r="D136" s="71"/>
    </row>
    <row r="137" customFormat="false" ht="15.75" hidden="false" customHeight="false" outlineLevel="0" collapsed="false">
      <c r="A137" s="69"/>
      <c r="B137" s="70"/>
      <c r="C137" s="71"/>
      <c r="D137" s="71"/>
    </row>
    <row r="138" customFormat="false" ht="15.75" hidden="false" customHeight="false" outlineLevel="0" collapsed="false">
      <c r="A138" s="69"/>
      <c r="B138" s="70"/>
      <c r="C138" s="71"/>
      <c r="D138" s="71"/>
    </row>
    <row r="139" customFormat="false" ht="15.75" hidden="false" customHeight="false" outlineLevel="0" collapsed="false">
      <c r="A139" s="69"/>
      <c r="B139" s="70"/>
      <c r="C139" s="71"/>
      <c r="D139" s="71"/>
    </row>
    <row r="140" customFormat="false" ht="15.75" hidden="false" customHeight="false" outlineLevel="0" collapsed="false">
      <c r="A140" s="69"/>
      <c r="B140" s="70"/>
      <c r="C140" s="71"/>
      <c r="D140" s="71"/>
    </row>
    <row r="141" customFormat="false" ht="15.75" hidden="false" customHeight="false" outlineLevel="0" collapsed="false">
      <c r="A141" s="69"/>
      <c r="B141" s="70"/>
      <c r="C141" s="71"/>
      <c r="D141" s="71"/>
    </row>
    <row r="142" customFormat="false" ht="15.75" hidden="false" customHeight="false" outlineLevel="0" collapsed="false">
      <c r="A142" s="69"/>
      <c r="B142" s="70"/>
      <c r="C142" s="71"/>
      <c r="D142" s="71"/>
    </row>
    <row r="143" customFormat="false" ht="15.75" hidden="false" customHeight="false" outlineLevel="0" collapsed="false">
      <c r="A143" s="69"/>
      <c r="B143" s="70"/>
      <c r="C143" s="71"/>
      <c r="D143" s="71"/>
    </row>
    <row r="144" customFormat="false" ht="15.75" hidden="false" customHeight="false" outlineLevel="0" collapsed="false">
      <c r="A144" s="69"/>
      <c r="B144" s="70"/>
      <c r="C144" s="71"/>
      <c r="D144" s="71"/>
    </row>
    <row r="145" customFormat="false" ht="15.75" hidden="false" customHeight="false" outlineLevel="0" collapsed="false">
      <c r="A145" s="69"/>
      <c r="B145" s="70"/>
      <c r="C145" s="71"/>
      <c r="D145" s="71"/>
    </row>
    <row r="146" customFormat="false" ht="15.75" hidden="false" customHeight="false" outlineLevel="0" collapsed="false">
      <c r="A146" s="69"/>
      <c r="B146" s="70"/>
      <c r="C146" s="71"/>
      <c r="D146" s="71"/>
    </row>
    <row r="147" customFormat="false" ht="15.75" hidden="false" customHeight="false" outlineLevel="0" collapsed="false">
      <c r="A147" s="69"/>
      <c r="B147" s="70"/>
      <c r="C147" s="71"/>
      <c r="D147" s="71"/>
    </row>
    <row r="148" customFormat="false" ht="15.75" hidden="false" customHeight="false" outlineLevel="0" collapsed="false">
      <c r="A148" s="69"/>
      <c r="B148" s="70"/>
      <c r="C148" s="71"/>
      <c r="D148" s="71"/>
    </row>
    <row r="149" customFormat="false" ht="15.75" hidden="false" customHeight="false" outlineLevel="0" collapsed="false">
      <c r="A149" s="69"/>
      <c r="B149" s="70"/>
      <c r="C149" s="71"/>
      <c r="D149" s="71"/>
    </row>
    <row r="150" customFormat="false" ht="15.75" hidden="false" customHeight="false" outlineLevel="0" collapsed="false">
      <c r="A150" s="69"/>
      <c r="B150" s="70"/>
      <c r="C150" s="71"/>
      <c r="D150" s="71"/>
    </row>
    <row r="151" customFormat="false" ht="15.75" hidden="false" customHeight="false" outlineLevel="0" collapsed="false">
      <c r="A151" s="69"/>
      <c r="B151" s="70"/>
      <c r="C151" s="71"/>
      <c r="D151" s="71"/>
    </row>
    <row r="152" customFormat="false" ht="15.75" hidden="false" customHeight="false" outlineLevel="0" collapsed="false">
      <c r="A152" s="69"/>
      <c r="B152" s="70"/>
      <c r="C152" s="71"/>
      <c r="D152" s="71"/>
    </row>
    <row r="153" customFormat="false" ht="15.75" hidden="false" customHeight="false" outlineLevel="0" collapsed="false">
      <c r="A153" s="69"/>
      <c r="B153" s="70"/>
      <c r="C153" s="71"/>
      <c r="D153" s="71"/>
    </row>
    <row r="154" customFormat="false" ht="15.75" hidden="false" customHeight="false" outlineLevel="0" collapsed="false">
      <c r="A154" s="69"/>
      <c r="B154" s="70"/>
      <c r="C154" s="71"/>
      <c r="D154" s="71"/>
    </row>
    <row r="155" customFormat="false" ht="15.75" hidden="false" customHeight="false" outlineLevel="0" collapsed="false">
      <c r="A155" s="69"/>
      <c r="B155" s="70"/>
      <c r="C155" s="71"/>
      <c r="D155" s="71"/>
    </row>
    <row r="156" customFormat="false" ht="15.75" hidden="false" customHeight="false" outlineLevel="0" collapsed="false">
      <c r="A156" s="69"/>
      <c r="B156" s="70"/>
      <c r="C156" s="71"/>
      <c r="D156" s="71"/>
    </row>
    <row r="157" customFormat="false" ht="15.75" hidden="false" customHeight="false" outlineLevel="0" collapsed="false">
      <c r="A157" s="69"/>
      <c r="B157" s="70"/>
      <c r="C157" s="71"/>
      <c r="D157" s="71"/>
    </row>
    <row r="158" customFormat="false" ht="15.75" hidden="false" customHeight="false" outlineLevel="0" collapsed="false">
      <c r="A158" s="69"/>
      <c r="B158" s="70"/>
      <c r="C158" s="71"/>
      <c r="D158" s="71"/>
    </row>
    <row r="159" customFormat="false" ht="15.75" hidden="false" customHeight="false" outlineLevel="0" collapsed="false">
      <c r="A159" s="69"/>
      <c r="B159" s="70"/>
      <c r="C159" s="71"/>
      <c r="D159" s="71"/>
    </row>
    <row r="160" customFormat="false" ht="15.75" hidden="false" customHeight="false" outlineLevel="0" collapsed="false">
      <c r="A160" s="69"/>
      <c r="B160" s="70"/>
      <c r="C160" s="71"/>
      <c r="D160" s="71"/>
    </row>
    <row r="161" customFormat="false" ht="15.75" hidden="false" customHeight="false" outlineLevel="0" collapsed="false">
      <c r="A161" s="69"/>
      <c r="B161" s="70"/>
      <c r="C161" s="71"/>
      <c r="D161" s="71"/>
    </row>
    <row r="162" customFormat="false" ht="15.75" hidden="false" customHeight="false" outlineLevel="0" collapsed="false">
      <c r="A162" s="69"/>
      <c r="B162" s="70"/>
      <c r="C162" s="71"/>
      <c r="D162" s="71"/>
    </row>
    <row r="163" customFormat="false" ht="15.75" hidden="false" customHeight="false" outlineLevel="0" collapsed="false">
      <c r="A163" s="69"/>
      <c r="B163" s="70"/>
      <c r="C163" s="71"/>
      <c r="D163" s="71"/>
    </row>
    <row r="164" customFormat="false" ht="15.75" hidden="false" customHeight="false" outlineLevel="0" collapsed="false">
      <c r="A164" s="69"/>
      <c r="B164" s="70"/>
      <c r="C164" s="71"/>
      <c r="D164" s="71"/>
    </row>
    <row r="165" customFormat="false" ht="15.75" hidden="false" customHeight="false" outlineLevel="0" collapsed="false">
      <c r="A165" s="69"/>
      <c r="B165" s="70"/>
      <c r="C165" s="71"/>
      <c r="D165" s="71"/>
    </row>
    <row r="166" customFormat="false" ht="15.75" hidden="false" customHeight="false" outlineLevel="0" collapsed="false">
      <c r="A166" s="69"/>
      <c r="B166" s="70"/>
      <c r="C166" s="71"/>
      <c r="D166" s="71"/>
    </row>
    <row r="167" customFormat="false" ht="15.75" hidden="false" customHeight="false" outlineLevel="0" collapsed="false">
      <c r="A167" s="69"/>
      <c r="B167" s="70"/>
      <c r="C167" s="71"/>
      <c r="D167" s="71"/>
    </row>
    <row r="168" customFormat="false" ht="15.75" hidden="false" customHeight="false" outlineLevel="0" collapsed="false">
      <c r="A168" s="69"/>
      <c r="B168" s="70"/>
      <c r="C168" s="71"/>
      <c r="D168" s="71"/>
    </row>
    <row r="169" customFormat="false" ht="15.75" hidden="false" customHeight="false" outlineLevel="0" collapsed="false">
      <c r="A169" s="69"/>
      <c r="B169" s="70"/>
      <c r="C169" s="71"/>
      <c r="D169" s="71"/>
    </row>
    <row r="170" customFormat="false" ht="15.75" hidden="false" customHeight="false" outlineLevel="0" collapsed="false">
      <c r="A170" s="69"/>
      <c r="B170" s="70"/>
      <c r="C170" s="71"/>
      <c r="D170" s="71"/>
    </row>
    <row r="171" customFormat="false" ht="15.75" hidden="false" customHeight="false" outlineLevel="0" collapsed="false">
      <c r="A171" s="69"/>
      <c r="B171" s="70"/>
      <c r="C171" s="71"/>
      <c r="D171" s="71"/>
    </row>
    <row r="172" customFormat="false" ht="15.75" hidden="false" customHeight="false" outlineLevel="0" collapsed="false">
      <c r="A172" s="69"/>
      <c r="B172" s="70"/>
      <c r="C172" s="71"/>
      <c r="D172" s="71"/>
    </row>
    <row r="173" customFormat="false" ht="15.75" hidden="false" customHeight="false" outlineLevel="0" collapsed="false">
      <c r="A173" s="69"/>
      <c r="B173" s="70"/>
      <c r="C173" s="71"/>
      <c r="D173" s="71"/>
    </row>
    <row r="174" customFormat="false" ht="15.75" hidden="false" customHeight="false" outlineLevel="0" collapsed="false">
      <c r="A174" s="69"/>
      <c r="B174" s="70"/>
      <c r="C174" s="71"/>
      <c r="D174" s="71"/>
    </row>
    <row r="175" customFormat="false" ht="15.75" hidden="false" customHeight="false" outlineLevel="0" collapsed="false">
      <c r="A175" s="69"/>
      <c r="B175" s="70"/>
      <c r="C175" s="71"/>
      <c r="D175" s="71"/>
    </row>
    <row r="176" customFormat="false" ht="15.75" hidden="false" customHeight="false" outlineLevel="0" collapsed="false">
      <c r="A176" s="69"/>
      <c r="B176" s="70"/>
      <c r="C176" s="71"/>
      <c r="D176" s="71"/>
    </row>
    <row r="177" customFormat="false" ht="15.75" hidden="false" customHeight="false" outlineLevel="0" collapsed="false">
      <c r="A177" s="69"/>
      <c r="B177" s="70"/>
      <c r="C177" s="71"/>
      <c r="D177" s="71"/>
    </row>
    <row r="178" customFormat="false" ht="15.75" hidden="false" customHeight="false" outlineLevel="0" collapsed="false">
      <c r="A178" s="69"/>
      <c r="B178" s="70"/>
      <c r="C178" s="71"/>
      <c r="D178" s="71"/>
    </row>
    <row r="179" customFormat="false" ht="15.75" hidden="false" customHeight="false" outlineLevel="0" collapsed="false">
      <c r="A179" s="69"/>
      <c r="B179" s="70"/>
      <c r="C179" s="71"/>
      <c r="D179" s="71"/>
    </row>
    <row r="180" customFormat="false" ht="15.75" hidden="false" customHeight="false" outlineLevel="0" collapsed="false">
      <c r="A180" s="69"/>
      <c r="B180" s="70"/>
      <c r="C180" s="71"/>
      <c r="D180" s="71"/>
    </row>
    <row r="181" customFormat="false" ht="15.75" hidden="false" customHeight="false" outlineLevel="0" collapsed="false">
      <c r="A181" s="69"/>
      <c r="B181" s="70"/>
      <c r="C181" s="71"/>
      <c r="D181" s="71"/>
    </row>
    <row r="182" customFormat="false" ht="15.75" hidden="false" customHeight="false" outlineLevel="0" collapsed="false">
      <c r="A182" s="69"/>
      <c r="B182" s="70"/>
      <c r="C182" s="71"/>
      <c r="D182" s="71"/>
    </row>
    <row r="183" customFormat="false" ht="15.75" hidden="false" customHeight="false" outlineLevel="0" collapsed="false">
      <c r="A183" s="69"/>
      <c r="B183" s="70"/>
      <c r="C183" s="71"/>
      <c r="D183" s="71"/>
    </row>
    <row r="184" customFormat="false" ht="15.75" hidden="false" customHeight="false" outlineLevel="0" collapsed="false">
      <c r="A184" s="69"/>
      <c r="B184" s="70"/>
      <c r="C184" s="71"/>
      <c r="D184" s="71"/>
    </row>
    <row r="185" customFormat="false" ht="15.75" hidden="false" customHeight="false" outlineLevel="0" collapsed="false">
      <c r="A185" s="69"/>
      <c r="B185" s="70"/>
      <c r="C185" s="71"/>
      <c r="D185" s="71"/>
    </row>
    <row r="186" customFormat="false" ht="15.75" hidden="false" customHeight="false" outlineLevel="0" collapsed="false">
      <c r="A186" s="69"/>
      <c r="B186" s="70"/>
      <c r="C186" s="71"/>
      <c r="D186" s="71"/>
    </row>
    <row r="187" customFormat="false" ht="15.75" hidden="false" customHeight="false" outlineLevel="0" collapsed="false">
      <c r="A187" s="69"/>
      <c r="B187" s="70"/>
      <c r="C187" s="71"/>
      <c r="D187" s="71"/>
    </row>
    <row r="188" customFormat="false" ht="15.75" hidden="false" customHeight="false" outlineLevel="0" collapsed="false">
      <c r="A188" s="69"/>
      <c r="B188" s="70"/>
      <c r="C188" s="71"/>
      <c r="D188" s="71"/>
    </row>
    <row r="189" customFormat="false" ht="15.75" hidden="false" customHeight="false" outlineLevel="0" collapsed="false">
      <c r="A189" s="69"/>
      <c r="B189" s="70"/>
      <c r="C189" s="71"/>
      <c r="D189" s="71"/>
    </row>
    <row r="190" customFormat="false" ht="15.75" hidden="false" customHeight="false" outlineLevel="0" collapsed="false">
      <c r="A190" s="69"/>
      <c r="B190" s="70"/>
      <c r="C190" s="71"/>
      <c r="D190" s="71"/>
    </row>
    <row r="191" customFormat="false" ht="15.75" hidden="false" customHeight="false" outlineLevel="0" collapsed="false">
      <c r="A191" s="69"/>
      <c r="B191" s="70"/>
      <c r="C191" s="71"/>
      <c r="D191" s="71"/>
    </row>
    <row r="192" customFormat="false" ht="15.75" hidden="false" customHeight="false" outlineLevel="0" collapsed="false">
      <c r="A192" s="69"/>
      <c r="B192" s="70"/>
      <c r="C192" s="71"/>
      <c r="D192" s="71"/>
    </row>
    <row r="193" customFormat="false" ht="15.75" hidden="false" customHeight="false" outlineLevel="0" collapsed="false">
      <c r="A193" s="69"/>
      <c r="B193" s="70"/>
      <c r="C193" s="71"/>
      <c r="D193" s="71"/>
    </row>
    <row r="194" customFormat="false" ht="15.75" hidden="false" customHeight="false" outlineLevel="0" collapsed="false">
      <c r="A194" s="69"/>
      <c r="B194" s="70"/>
      <c r="C194" s="71"/>
      <c r="D194" s="71"/>
    </row>
    <row r="195" customFormat="false" ht="15.75" hidden="false" customHeight="false" outlineLevel="0" collapsed="false">
      <c r="A195" s="69"/>
      <c r="B195" s="70"/>
      <c r="C195" s="71"/>
      <c r="D195" s="71"/>
    </row>
    <row r="196" customFormat="false" ht="15.75" hidden="false" customHeight="false" outlineLevel="0" collapsed="false">
      <c r="A196" s="69"/>
      <c r="B196" s="70"/>
      <c r="C196" s="71"/>
      <c r="D196" s="71"/>
    </row>
    <row r="197" customFormat="false" ht="15.75" hidden="false" customHeight="false" outlineLevel="0" collapsed="false">
      <c r="A197" s="69"/>
      <c r="B197" s="70"/>
      <c r="C197" s="71"/>
      <c r="D197" s="71"/>
    </row>
    <row r="198" customFormat="false" ht="15.75" hidden="false" customHeight="false" outlineLevel="0" collapsed="false">
      <c r="A198" s="69"/>
      <c r="B198" s="70"/>
      <c r="C198" s="71"/>
      <c r="D198" s="71"/>
    </row>
    <row r="199" customFormat="false" ht="15.75" hidden="false" customHeight="false" outlineLevel="0" collapsed="false">
      <c r="A199" s="69"/>
      <c r="B199" s="70"/>
      <c r="C199" s="71"/>
      <c r="D199" s="71"/>
    </row>
    <row r="200" customFormat="false" ht="15.75" hidden="false" customHeight="false" outlineLevel="0" collapsed="false">
      <c r="A200" s="69"/>
      <c r="B200" s="70"/>
      <c r="C200" s="71"/>
      <c r="D200" s="71"/>
    </row>
    <row r="201" customFormat="false" ht="15.75" hidden="false" customHeight="false" outlineLevel="0" collapsed="false">
      <c r="A201" s="69"/>
      <c r="B201" s="70"/>
      <c r="C201" s="71"/>
      <c r="D201" s="71"/>
    </row>
    <row r="202" customFormat="false" ht="15.75" hidden="false" customHeight="false" outlineLevel="0" collapsed="false">
      <c r="A202" s="69"/>
      <c r="B202" s="70"/>
      <c r="C202" s="71"/>
      <c r="D202" s="71"/>
    </row>
    <row r="203" customFormat="false" ht="15.75" hidden="false" customHeight="false" outlineLevel="0" collapsed="false">
      <c r="A203" s="69"/>
      <c r="B203" s="70"/>
      <c r="C203" s="71"/>
      <c r="D203" s="71"/>
    </row>
    <row r="204" customFormat="false" ht="15.75" hidden="false" customHeight="false" outlineLevel="0" collapsed="false">
      <c r="A204" s="69"/>
      <c r="B204" s="70"/>
      <c r="C204" s="71"/>
      <c r="D204" s="71"/>
    </row>
    <row r="205" customFormat="false" ht="15.75" hidden="false" customHeight="false" outlineLevel="0" collapsed="false">
      <c r="A205" s="69"/>
      <c r="B205" s="70"/>
      <c r="C205" s="71"/>
      <c r="D205" s="71"/>
    </row>
    <row r="206" customFormat="false" ht="15.75" hidden="false" customHeight="false" outlineLevel="0" collapsed="false">
      <c r="A206" s="69"/>
      <c r="B206" s="70"/>
      <c r="C206" s="71"/>
      <c r="D206" s="71"/>
    </row>
    <row r="207" customFormat="false" ht="15.75" hidden="false" customHeight="false" outlineLevel="0" collapsed="false">
      <c r="A207" s="69"/>
      <c r="B207" s="70"/>
      <c r="C207" s="71"/>
      <c r="D207" s="71"/>
    </row>
    <row r="208" customFormat="false" ht="15.75" hidden="false" customHeight="false" outlineLevel="0" collapsed="false">
      <c r="A208" s="69"/>
      <c r="B208" s="70"/>
      <c r="C208" s="71"/>
      <c r="D208" s="71"/>
    </row>
    <row r="209" customFormat="false" ht="15.75" hidden="false" customHeight="false" outlineLevel="0" collapsed="false">
      <c r="A209" s="69"/>
      <c r="B209" s="70"/>
      <c r="C209" s="71"/>
      <c r="D209" s="71"/>
    </row>
    <row r="210" customFormat="false" ht="15.75" hidden="false" customHeight="false" outlineLevel="0" collapsed="false">
      <c r="A210" s="69"/>
      <c r="B210" s="70"/>
      <c r="C210" s="71"/>
      <c r="D210" s="71"/>
    </row>
    <row r="211" customFormat="false" ht="15.75" hidden="false" customHeight="false" outlineLevel="0" collapsed="false">
      <c r="A211" s="69"/>
      <c r="B211" s="70"/>
      <c r="C211" s="71"/>
      <c r="D211" s="71"/>
    </row>
    <row r="212" customFormat="false" ht="15.75" hidden="false" customHeight="false" outlineLevel="0" collapsed="false">
      <c r="A212" s="69"/>
      <c r="B212" s="70"/>
      <c r="C212" s="71"/>
      <c r="D212" s="71"/>
    </row>
    <row r="213" customFormat="false" ht="15.75" hidden="false" customHeight="false" outlineLevel="0" collapsed="false">
      <c r="A213" s="69"/>
      <c r="B213" s="70"/>
      <c r="C213" s="71"/>
      <c r="D213" s="71"/>
    </row>
    <row r="214" customFormat="false" ht="15.75" hidden="false" customHeight="false" outlineLevel="0" collapsed="false">
      <c r="A214" s="69"/>
      <c r="B214" s="70"/>
      <c r="C214" s="71"/>
      <c r="D214" s="71"/>
    </row>
    <row r="215" customFormat="false" ht="15.75" hidden="false" customHeight="false" outlineLevel="0" collapsed="false">
      <c r="A215" s="69"/>
      <c r="B215" s="70"/>
      <c r="C215" s="71"/>
      <c r="D215" s="71"/>
    </row>
    <row r="216" customFormat="false" ht="15.75" hidden="false" customHeight="false" outlineLevel="0" collapsed="false">
      <c r="A216" s="69"/>
      <c r="B216" s="70"/>
      <c r="C216" s="71"/>
      <c r="D216" s="71"/>
    </row>
    <row r="217" customFormat="false" ht="15.75" hidden="false" customHeight="false" outlineLevel="0" collapsed="false">
      <c r="A217" s="69"/>
      <c r="B217" s="70"/>
      <c r="C217" s="71"/>
      <c r="D217" s="71"/>
    </row>
    <row r="218" customFormat="false" ht="15.75" hidden="false" customHeight="false" outlineLevel="0" collapsed="false">
      <c r="A218" s="69"/>
      <c r="B218" s="70"/>
      <c r="C218" s="71"/>
      <c r="D218" s="71"/>
    </row>
    <row r="219" customFormat="false" ht="15.75" hidden="false" customHeight="false" outlineLevel="0" collapsed="false">
      <c r="A219" s="69"/>
      <c r="B219" s="70"/>
      <c r="C219" s="71"/>
      <c r="D219" s="71"/>
    </row>
    <row r="220" customFormat="false" ht="15.75" hidden="false" customHeight="false" outlineLevel="0" collapsed="false">
      <c r="A220" s="69"/>
      <c r="B220" s="70"/>
      <c r="C220" s="71"/>
      <c r="D220" s="71"/>
    </row>
    <row r="221" customFormat="false" ht="15.75" hidden="false" customHeight="false" outlineLevel="0" collapsed="false">
      <c r="A221" s="69"/>
      <c r="B221" s="70"/>
      <c r="C221" s="71"/>
      <c r="D221" s="71"/>
    </row>
    <row r="222" customFormat="false" ht="15.75" hidden="false" customHeight="false" outlineLevel="0" collapsed="false">
      <c r="A222" s="69"/>
      <c r="B222" s="70"/>
      <c r="C222" s="71"/>
      <c r="D222" s="71"/>
    </row>
    <row r="223" customFormat="false" ht="15.75" hidden="false" customHeight="false" outlineLevel="0" collapsed="false">
      <c r="A223" s="69"/>
      <c r="B223" s="70"/>
      <c r="C223" s="71"/>
      <c r="D223" s="71"/>
    </row>
    <row r="224" customFormat="false" ht="15.75" hidden="false" customHeight="false" outlineLevel="0" collapsed="false">
      <c r="A224" s="69"/>
      <c r="B224" s="70"/>
      <c r="C224" s="71"/>
      <c r="D224" s="71"/>
    </row>
    <row r="225" customFormat="false" ht="15.75" hidden="false" customHeight="false" outlineLevel="0" collapsed="false">
      <c r="A225" s="69"/>
      <c r="B225" s="70"/>
      <c r="C225" s="71"/>
      <c r="D225" s="71"/>
    </row>
    <row r="226" customFormat="false" ht="15.75" hidden="false" customHeight="false" outlineLevel="0" collapsed="false">
      <c r="A226" s="69"/>
      <c r="B226" s="70"/>
      <c r="C226" s="71"/>
      <c r="D226" s="71"/>
    </row>
    <row r="227" customFormat="false" ht="15.75" hidden="false" customHeight="false" outlineLevel="0" collapsed="false">
      <c r="A227" s="69"/>
      <c r="B227" s="70"/>
      <c r="C227" s="71"/>
      <c r="D227" s="71"/>
    </row>
    <row r="228" customFormat="false" ht="15.75" hidden="false" customHeight="false" outlineLevel="0" collapsed="false">
      <c r="A228" s="69"/>
      <c r="B228" s="70"/>
      <c r="C228" s="71"/>
      <c r="D228" s="71"/>
    </row>
    <row r="229" customFormat="false" ht="15.75" hidden="false" customHeight="false" outlineLevel="0" collapsed="false">
      <c r="A229" s="69"/>
      <c r="B229" s="70"/>
      <c r="C229" s="71"/>
      <c r="D229" s="71"/>
    </row>
    <row r="230" customFormat="false" ht="15.75" hidden="false" customHeight="false" outlineLevel="0" collapsed="false">
      <c r="A230" s="69"/>
      <c r="B230" s="70"/>
      <c r="C230" s="71"/>
      <c r="D230" s="71"/>
    </row>
    <row r="231" customFormat="false" ht="15.75" hidden="false" customHeight="false" outlineLevel="0" collapsed="false">
      <c r="A231" s="69"/>
      <c r="B231" s="70"/>
      <c r="C231" s="71"/>
      <c r="D231" s="71"/>
    </row>
    <row r="232" customFormat="false" ht="15.75" hidden="false" customHeight="false" outlineLevel="0" collapsed="false">
      <c r="A232" s="69"/>
      <c r="B232" s="70"/>
      <c r="C232" s="71"/>
      <c r="D232" s="71"/>
    </row>
    <row r="233" customFormat="false" ht="15.75" hidden="false" customHeight="false" outlineLevel="0" collapsed="false">
      <c r="A233" s="69"/>
      <c r="B233" s="70"/>
      <c r="C233" s="71"/>
      <c r="D233" s="71"/>
    </row>
    <row r="234" customFormat="false" ht="15.75" hidden="false" customHeight="false" outlineLevel="0" collapsed="false">
      <c r="A234" s="69"/>
      <c r="B234" s="70"/>
      <c r="C234" s="71"/>
      <c r="D234" s="71"/>
    </row>
    <row r="235" customFormat="false" ht="15.75" hidden="false" customHeight="false" outlineLevel="0" collapsed="false">
      <c r="A235" s="69"/>
      <c r="B235" s="70"/>
      <c r="C235" s="71"/>
      <c r="D235" s="71"/>
    </row>
    <row r="236" customFormat="false" ht="15.75" hidden="false" customHeight="false" outlineLevel="0" collapsed="false">
      <c r="A236" s="69"/>
      <c r="B236" s="70"/>
      <c r="C236" s="71"/>
      <c r="D236" s="71"/>
    </row>
    <row r="237" customFormat="false" ht="15.75" hidden="false" customHeight="false" outlineLevel="0" collapsed="false">
      <c r="A237" s="69"/>
      <c r="B237" s="70"/>
      <c r="C237" s="71"/>
      <c r="D237" s="71"/>
    </row>
    <row r="238" customFormat="false" ht="15.75" hidden="false" customHeight="false" outlineLevel="0" collapsed="false">
      <c r="A238" s="69"/>
      <c r="B238" s="70"/>
      <c r="C238" s="71"/>
      <c r="D238" s="71"/>
    </row>
    <row r="239" customFormat="false" ht="15.75" hidden="false" customHeight="false" outlineLevel="0" collapsed="false">
      <c r="A239" s="69"/>
      <c r="B239" s="70"/>
      <c r="C239" s="71"/>
      <c r="D239" s="71"/>
    </row>
    <row r="240" customFormat="false" ht="15.75" hidden="false" customHeight="false" outlineLevel="0" collapsed="false">
      <c r="A240" s="69"/>
      <c r="B240" s="70"/>
      <c r="C240" s="71"/>
      <c r="D240" s="71"/>
    </row>
    <row r="241" customFormat="false" ht="15.75" hidden="false" customHeight="false" outlineLevel="0" collapsed="false">
      <c r="A241" s="69"/>
      <c r="B241" s="70"/>
      <c r="C241" s="71"/>
      <c r="D241" s="71"/>
    </row>
    <row r="242" customFormat="false" ht="15.75" hidden="false" customHeight="false" outlineLevel="0" collapsed="false">
      <c r="A242" s="69"/>
      <c r="B242" s="70"/>
      <c r="C242" s="71"/>
      <c r="D242" s="71"/>
    </row>
    <row r="243" customFormat="false" ht="15.75" hidden="false" customHeight="false" outlineLevel="0" collapsed="false">
      <c r="A243" s="69"/>
      <c r="B243" s="70"/>
      <c r="C243" s="71"/>
      <c r="D243" s="71"/>
    </row>
    <row r="244" customFormat="false" ht="15.75" hidden="false" customHeight="false" outlineLevel="0" collapsed="false">
      <c r="A244" s="69"/>
      <c r="B244" s="70"/>
      <c r="C244" s="71"/>
      <c r="D244" s="71"/>
    </row>
    <row r="245" customFormat="false" ht="15.75" hidden="false" customHeight="false" outlineLevel="0" collapsed="false">
      <c r="A245" s="69"/>
      <c r="B245" s="70"/>
      <c r="C245" s="71"/>
      <c r="D245" s="71"/>
    </row>
    <row r="246" customFormat="false" ht="15.75" hidden="false" customHeight="false" outlineLevel="0" collapsed="false">
      <c r="A246" s="69"/>
      <c r="B246" s="70"/>
      <c r="C246" s="71"/>
      <c r="D246" s="71"/>
    </row>
    <row r="247" customFormat="false" ht="15.75" hidden="false" customHeight="false" outlineLevel="0" collapsed="false">
      <c r="A247" s="69"/>
      <c r="B247" s="70"/>
      <c r="C247" s="71"/>
      <c r="D247" s="71"/>
    </row>
    <row r="248" customFormat="false" ht="15.75" hidden="false" customHeight="false" outlineLevel="0" collapsed="false">
      <c r="A248" s="69"/>
      <c r="B248" s="70"/>
      <c r="C248" s="71"/>
      <c r="D248" s="71"/>
    </row>
    <row r="249" customFormat="false" ht="15.75" hidden="false" customHeight="false" outlineLevel="0" collapsed="false">
      <c r="A249" s="69"/>
      <c r="B249" s="70"/>
      <c r="C249" s="71"/>
      <c r="D249" s="71"/>
    </row>
    <row r="250" customFormat="false" ht="15.75" hidden="false" customHeight="false" outlineLevel="0" collapsed="false">
      <c r="A250" s="69"/>
      <c r="B250" s="70"/>
      <c r="C250" s="71"/>
      <c r="D250" s="71"/>
    </row>
    <row r="251" customFormat="false" ht="15.75" hidden="false" customHeight="false" outlineLevel="0" collapsed="false">
      <c r="A251" s="69"/>
      <c r="B251" s="70"/>
      <c r="C251" s="71"/>
      <c r="D251" s="71"/>
    </row>
    <row r="252" customFormat="false" ht="15.75" hidden="false" customHeight="false" outlineLevel="0" collapsed="false">
      <c r="A252" s="69"/>
      <c r="B252" s="70"/>
      <c r="C252" s="71"/>
      <c r="D252" s="71"/>
    </row>
    <row r="253" customFormat="false" ht="15.75" hidden="false" customHeight="false" outlineLevel="0" collapsed="false">
      <c r="A253" s="69"/>
      <c r="B253" s="70"/>
      <c r="C253" s="71"/>
      <c r="D253" s="71"/>
    </row>
    <row r="254" customFormat="false" ht="15.75" hidden="false" customHeight="false" outlineLevel="0" collapsed="false">
      <c r="A254" s="69"/>
      <c r="B254" s="70"/>
      <c r="C254" s="71"/>
      <c r="D254" s="71"/>
    </row>
    <row r="255" customFormat="false" ht="15.75" hidden="false" customHeight="false" outlineLevel="0" collapsed="false">
      <c r="A255" s="69"/>
      <c r="B255" s="70"/>
      <c r="C255" s="71"/>
      <c r="D255" s="71"/>
    </row>
    <row r="256" customFormat="false" ht="15.75" hidden="false" customHeight="false" outlineLevel="0" collapsed="false">
      <c r="A256" s="69"/>
      <c r="B256" s="70"/>
      <c r="C256" s="71"/>
      <c r="D256" s="71"/>
    </row>
    <row r="257" customFormat="false" ht="15.75" hidden="false" customHeight="false" outlineLevel="0" collapsed="false">
      <c r="A257" s="69"/>
      <c r="B257" s="70"/>
      <c r="C257" s="71"/>
      <c r="D257" s="71"/>
    </row>
    <row r="258" customFormat="false" ht="15.75" hidden="false" customHeight="false" outlineLevel="0" collapsed="false">
      <c r="A258" s="69"/>
      <c r="B258" s="70"/>
      <c r="C258" s="71"/>
      <c r="D258" s="71"/>
    </row>
    <row r="259" customFormat="false" ht="15.75" hidden="false" customHeight="false" outlineLevel="0" collapsed="false">
      <c r="A259" s="69"/>
      <c r="B259" s="70"/>
      <c r="C259" s="71"/>
      <c r="D259" s="71"/>
    </row>
    <row r="260" customFormat="false" ht="15.75" hidden="false" customHeight="false" outlineLevel="0" collapsed="false">
      <c r="A260" s="69"/>
      <c r="B260" s="70"/>
      <c r="C260" s="71"/>
      <c r="D260" s="71"/>
    </row>
    <row r="261" customFormat="false" ht="15.75" hidden="false" customHeight="false" outlineLevel="0" collapsed="false">
      <c r="A261" s="69"/>
      <c r="B261" s="70"/>
      <c r="C261" s="71"/>
      <c r="D261" s="71"/>
    </row>
    <row r="262" customFormat="false" ht="15.75" hidden="false" customHeight="false" outlineLevel="0" collapsed="false">
      <c r="A262" s="69"/>
      <c r="B262" s="70"/>
      <c r="C262" s="71"/>
      <c r="D262" s="71"/>
    </row>
    <row r="263" customFormat="false" ht="15.75" hidden="false" customHeight="false" outlineLevel="0" collapsed="false">
      <c r="A263" s="69"/>
      <c r="B263" s="70"/>
      <c r="C263" s="71"/>
      <c r="D263" s="71"/>
    </row>
    <row r="264" customFormat="false" ht="15.75" hidden="false" customHeight="false" outlineLevel="0" collapsed="false">
      <c r="A264" s="69"/>
      <c r="B264" s="70"/>
      <c r="C264" s="71"/>
      <c r="D264" s="71"/>
    </row>
    <row r="265" customFormat="false" ht="15.75" hidden="false" customHeight="false" outlineLevel="0" collapsed="false">
      <c r="A265" s="69"/>
      <c r="B265" s="70"/>
      <c r="C265" s="71"/>
      <c r="D265" s="71"/>
    </row>
    <row r="266" customFormat="false" ht="15.75" hidden="false" customHeight="false" outlineLevel="0" collapsed="false">
      <c r="A266" s="69"/>
      <c r="B266" s="70"/>
      <c r="C266" s="71"/>
      <c r="D266" s="71"/>
    </row>
    <row r="267" customFormat="false" ht="15.75" hidden="false" customHeight="false" outlineLevel="0" collapsed="false">
      <c r="A267" s="69"/>
      <c r="B267" s="70"/>
      <c r="C267" s="71"/>
      <c r="D267" s="71"/>
    </row>
    <row r="268" customFormat="false" ht="15.75" hidden="false" customHeight="false" outlineLevel="0" collapsed="false">
      <c r="A268" s="69"/>
      <c r="B268" s="70"/>
      <c r="C268" s="71"/>
      <c r="D268" s="71"/>
    </row>
    <row r="269" customFormat="false" ht="15.75" hidden="false" customHeight="false" outlineLevel="0" collapsed="false">
      <c r="A269" s="69"/>
      <c r="B269" s="70"/>
      <c r="C269" s="71"/>
      <c r="D269" s="71"/>
    </row>
    <row r="270" customFormat="false" ht="15.75" hidden="false" customHeight="false" outlineLevel="0" collapsed="false">
      <c r="A270" s="69"/>
      <c r="B270" s="70"/>
      <c r="C270" s="71"/>
      <c r="D270" s="71"/>
    </row>
    <row r="271" customFormat="false" ht="15.75" hidden="false" customHeight="false" outlineLevel="0" collapsed="false">
      <c r="A271" s="69"/>
      <c r="B271" s="70"/>
      <c r="C271" s="71"/>
      <c r="D271" s="71"/>
    </row>
    <row r="272" customFormat="false" ht="15.75" hidden="false" customHeight="false" outlineLevel="0" collapsed="false">
      <c r="A272" s="69"/>
      <c r="B272" s="70"/>
      <c r="C272" s="71"/>
      <c r="D272" s="71"/>
    </row>
    <row r="273" customFormat="false" ht="15.75" hidden="false" customHeight="false" outlineLevel="0" collapsed="false">
      <c r="A273" s="69"/>
      <c r="B273" s="70"/>
      <c r="C273" s="71"/>
      <c r="D273" s="71"/>
    </row>
    <row r="274" customFormat="false" ht="15.75" hidden="false" customHeight="false" outlineLevel="0" collapsed="false">
      <c r="A274" s="69"/>
      <c r="B274" s="70"/>
      <c r="C274" s="71"/>
      <c r="D274" s="71"/>
    </row>
    <row r="275" customFormat="false" ht="15.75" hidden="false" customHeight="false" outlineLevel="0" collapsed="false">
      <c r="A275" s="69"/>
      <c r="B275" s="70"/>
      <c r="C275" s="71"/>
      <c r="D275" s="71"/>
    </row>
    <row r="276" customFormat="false" ht="15.75" hidden="false" customHeight="false" outlineLevel="0" collapsed="false">
      <c r="A276" s="69"/>
      <c r="B276" s="70"/>
      <c r="C276" s="71"/>
      <c r="D276" s="71"/>
    </row>
    <row r="277" customFormat="false" ht="15.75" hidden="false" customHeight="false" outlineLevel="0" collapsed="false">
      <c r="A277" s="69"/>
      <c r="B277" s="70"/>
      <c r="C277" s="71"/>
      <c r="D277" s="71"/>
    </row>
    <row r="278" customFormat="false" ht="15.75" hidden="false" customHeight="false" outlineLevel="0" collapsed="false">
      <c r="A278" s="69"/>
      <c r="B278" s="70"/>
      <c r="C278" s="71"/>
      <c r="D278" s="71"/>
    </row>
    <row r="279" customFormat="false" ht="15.75" hidden="false" customHeight="false" outlineLevel="0" collapsed="false">
      <c r="A279" s="69"/>
      <c r="B279" s="70"/>
      <c r="C279" s="71"/>
      <c r="D279" s="71"/>
    </row>
    <row r="280" customFormat="false" ht="15.75" hidden="false" customHeight="false" outlineLevel="0" collapsed="false">
      <c r="A280" s="69"/>
      <c r="B280" s="70"/>
      <c r="C280" s="71"/>
      <c r="D280" s="71"/>
    </row>
    <row r="281" customFormat="false" ht="15.75" hidden="false" customHeight="false" outlineLevel="0" collapsed="false">
      <c r="A281" s="69"/>
      <c r="B281" s="70"/>
      <c r="C281" s="71"/>
      <c r="D281" s="71"/>
    </row>
    <row r="282" customFormat="false" ht="15.75" hidden="false" customHeight="false" outlineLevel="0" collapsed="false">
      <c r="A282" s="69"/>
      <c r="B282" s="70"/>
      <c r="C282" s="71"/>
      <c r="D282" s="71"/>
    </row>
    <row r="283" customFormat="false" ht="15.75" hidden="false" customHeight="false" outlineLevel="0" collapsed="false">
      <c r="A283" s="69"/>
      <c r="B283" s="70"/>
      <c r="C283" s="71"/>
      <c r="D283" s="71"/>
    </row>
    <row r="284" customFormat="false" ht="15.75" hidden="false" customHeight="false" outlineLevel="0" collapsed="false">
      <c r="A284" s="69"/>
      <c r="B284" s="70"/>
      <c r="C284" s="71"/>
      <c r="D284" s="71"/>
    </row>
    <row r="285" customFormat="false" ht="15.75" hidden="false" customHeight="false" outlineLevel="0" collapsed="false">
      <c r="A285" s="69"/>
      <c r="B285" s="70"/>
      <c r="C285" s="71"/>
      <c r="D285" s="71"/>
    </row>
    <row r="286" customFormat="false" ht="15.75" hidden="false" customHeight="false" outlineLevel="0" collapsed="false">
      <c r="A286" s="69"/>
      <c r="B286" s="70"/>
      <c r="C286" s="71"/>
      <c r="D286" s="71"/>
    </row>
    <row r="287" customFormat="false" ht="15.75" hidden="false" customHeight="false" outlineLevel="0" collapsed="false">
      <c r="A287" s="69"/>
      <c r="B287" s="70"/>
      <c r="C287" s="71"/>
      <c r="D287" s="71"/>
    </row>
    <row r="288" customFormat="false" ht="15.75" hidden="false" customHeight="false" outlineLevel="0" collapsed="false">
      <c r="A288" s="69"/>
      <c r="B288" s="70"/>
      <c r="C288" s="71"/>
      <c r="D288" s="71"/>
    </row>
    <row r="289" customFormat="false" ht="15.75" hidden="false" customHeight="false" outlineLevel="0" collapsed="false">
      <c r="A289" s="69"/>
      <c r="B289" s="70"/>
      <c r="C289" s="71"/>
      <c r="D289" s="71"/>
    </row>
    <row r="290" customFormat="false" ht="15.75" hidden="false" customHeight="false" outlineLevel="0" collapsed="false">
      <c r="A290" s="69"/>
      <c r="B290" s="70"/>
      <c r="C290" s="71"/>
      <c r="D290" s="71"/>
    </row>
    <row r="291" customFormat="false" ht="15.75" hidden="false" customHeight="false" outlineLevel="0" collapsed="false">
      <c r="A291" s="69"/>
      <c r="B291" s="70"/>
      <c r="C291" s="71"/>
      <c r="D291" s="71"/>
    </row>
    <row r="292" customFormat="false" ht="15.75" hidden="false" customHeight="false" outlineLevel="0" collapsed="false">
      <c r="A292" s="69"/>
      <c r="B292" s="70"/>
      <c r="C292" s="71"/>
      <c r="D292" s="71"/>
    </row>
    <row r="293" customFormat="false" ht="15.75" hidden="false" customHeight="false" outlineLevel="0" collapsed="false">
      <c r="A293" s="69"/>
      <c r="B293" s="70"/>
      <c r="C293" s="71"/>
      <c r="D293" s="71"/>
    </row>
    <row r="294" customFormat="false" ht="15.75" hidden="false" customHeight="false" outlineLevel="0" collapsed="false">
      <c r="A294" s="69"/>
      <c r="B294" s="70"/>
      <c r="C294" s="71"/>
      <c r="D294" s="71"/>
    </row>
    <row r="295" customFormat="false" ht="15.75" hidden="false" customHeight="false" outlineLevel="0" collapsed="false">
      <c r="A295" s="69"/>
      <c r="B295" s="70"/>
      <c r="C295" s="71"/>
      <c r="D295" s="71"/>
    </row>
    <row r="296" customFormat="false" ht="15.75" hidden="false" customHeight="false" outlineLevel="0" collapsed="false">
      <c r="A296" s="69"/>
      <c r="B296" s="70"/>
      <c r="C296" s="71"/>
      <c r="D296" s="71"/>
    </row>
    <row r="297" customFormat="false" ht="15.75" hidden="false" customHeight="false" outlineLevel="0" collapsed="false">
      <c r="A297" s="69"/>
      <c r="B297" s="70"/>
      <c r="C297" s="71"/>
      <c r="D297" s="71"/>
    </row>
    <row r="298" customFormat="false" ht="15.75" hidden="false" customHeight="false" outlineLevel="0" collapsed="false">
      <c r="A298" s="69"/>
      <c r="B298" s="70"/>
      <c r="C298" s="71"/>
      <c r="D298" s="71"/>
    </row>
    <row r="299" customFormat="false" ht="15.75" hidden="false" customHeight="false" outlineLevel="0" collapsed="false">
      <c r="A299" s="69"/>
      <c r="B299" s="70"/>
      <c r="C299" s="71"/>
      <c r="D299" s="71"/>
    </row>
    <row r="300" customFormat="false" ht="15.75" hidden="false" customHeight="false" outlineLevel="0" collapsed="false">
      <c r="A300" s="69"/>
      <c r="B300" s="70"/>
      <c r="C300" s="71"/>
      <c r="D300" s="71"/>
    </row>
    <row r="301" customFormat="false" ht="15.75" hidden="false" customHeight="false" outlineLevel="0" collapsed="false">
      <c r="A301" s="69"/>
      <c r="B301" s="70"/>
      <c r="C301" s="71"/>
      <c r="D301" s="71"/>
    </row>
    <row r="302" customFormat="false" ht="15.75" hidden="false" customHeight="false" outlineLevel="0" collapsed="false">
      <c r="A302" s="69"/>
      <c r="B302" s="70"/>
      <c r="C302" s="71"/>
      <c r="D302" s="71"/>
    </row>
    <row r="303" customFormat="false" ht="15.75" hidden="false" customHeight="false" outlineLevel="0" collapsed="false">
      <c r="A303" s="69"/>
      <c r="B303" s="70"/>
      <c r="C303" s="71"/>
      <c r="D303" s="71"/>
    </row>
    <row r="304" customFormat="false" ht="15.75" hidden="false" customHeight="false" outlineLevel="0" collapsed="false">
      <c r="A304" s="69"/>
      <c r="B304" s="70"/>
      <c r="C304" s="71"/>
      <c r="D304" s="71"/>
    </row>
    <row r="305" customFormat="false" ht="15.75" hidden="false" customHeight="false" outlineLevel="0" collapsed="false">
      <c r="A305" s="69"/>
      <c r="B305" s="70"/>
      <c r="C305" s="71"/>
      <c r="D305" s="71"/>
    </row>
    <row r="306" customFormat="false" ht="15.75" hidden="false" customHeight="false" outlineLevel="0" collapsed="false">
      <c r="A306" s="69"/>
      <c r="B306" s="70"/>
      <c r="C306" s="71"/>
      <c r="D306" s="71"/>
    </row>
    <row r="307" customFormat="false" ht="15.75" hidden="false" customHeight="false" outlineLevel="0" collapsed="false">
      <c r="A307" s="69"/>
      <c r="B307" s="70"/>
      <c r="C307" s="71"/>
      <c r="D307" s="71"/>
    </row>
    <row r="308" customFormat="false" ht="15.75" hidden="false" customHeight="false" outlineLevel="0" collapsed="false">
      <c r="A308" s="69"/>
      <c r="B308" s="70"/>
      <c r="C308" s="71"/>
      <c r="D308" s="71"/>
    </row>
    <row r="309" customFormat="false" ht="15.75" hidden="false" customHeight="false" outlineLevel="0" collapsed="false">
      <c r="A309" s="69"/>
      <c r="B309" s="70"/>
      <c r="C309" s="71"/>
      <c r="D309" s="71"/>
    </row>
    <row r="310" customFormat="false" ht="15.75" hidden="false" customHeight="false" outlineLevel="0" collapsed="false">
      <c r="A310" s="69"/>
      <c r="B310" s="70"/>
      <c r="C310" s="71"/>
      <c r="D310" s="71"/>
    </row>
    <row r="311" customFormat="false" ht="15.75" hidden="false" customHeight="false" outlineLevel="0" collapsed="false">
      <c r="A311" s="69"/>
      <c r="B311" s="70"/>
      <c r="C311" s="71"/>
      <c r="D311" s="71"/>
    </row>
    <row r="312" customFormat="false" ht="15.75" hidden="false" customHeight="false" outlineLevel="0" collapsed="false">
      <c r="A312" s="69"/>
      <c r="B312" s="70"/>
      <c r="C312" s="71"/>
      <c r="D312" s="71"/>
    </row>
    <row r="313" customFormat="false" ht="15.75" hidden="false" customHeight="false" outlineLevel="0" collapsed="false">
      <c r="A313" s="69"/>
      <c r="B313" s="70"/>
      <c r="C313" s="71"/>
      <c r="D313" s="71"/>
    </row>
    <row r="314" customFormat="false" ht="15.75" hidden="false" customHeight="false" outlineLevel="0" collapsed="false">
      <c r="A314" s="69"/>
      <c r="B314" s="70"/>
      <c r="C314" s="71"/>
      <c r="D314" s="71"/>
    </row>
    <row r="315" customFormat="false" ht="15.75" hidden="false" customHeight="false" outlineLevel="0" collapsed="false">
      <c r="A315" s="69"/>
      <c r="B315" s="70"/>
      <c r="C315" s="71"/>
      <c r="D315" s="71"/>
    </row>
    <row r="316" customFormat="false" ht="15.75" hidden="false" customHeight="false" outlineLevel="0" collapsed="false">
      <c r="A316" s="69"/>
      <c r="B316" s="70"/>
      <c r="C316" s="71"/>
      <c r="D316" s="71"/>
    </row>
    <row r="317" customFormat="false" ht="15.75" hidden="false" customHeight="false" outlineLevel="0" collapsed="false">
      <c r="A317" s="69"/>
      <c r="B317" s="70"/>
      <c r="C317" s="71"/>
      <c r="D317" s="71"/>
    </row>
    <row r="318" customFormat="false" ht="15.75" hidden="false" customHeight="false" outlineLevel="0" collapsed="false">
      <c r="A318" s="69"/>
      <c r="B318" s="70"/>
      <c r="C318" s="71"/>
      <c r="D318" s="71"/>
    </row>
    <row r="319" customFormat="false" ht="15.75" hidden="false" customHeight="false" outlineLevel="0" collapsed="false">
      <c r="A319" s="69"/>
      <c r="B319" s="70"/>
      <c r="C319" s="71"/>
      <c r="D319" s="71"/>
    </row>
    <row r="320" customFormat="false" ht="15.75" hidden="false" customHeight="false" outlineLevel="0" collapsed="false">
      <c r="A320" s="69"/>
      <c r="B320" s="70"/>
      <c r="C320" s="71"/>
      <c r="D320" s="71"/>
    </row>
    <row r="321" customFormat="false" ht="15.75" hidden="false" customHeight="false" outlineLevel="0" collapsed="false">
      <c r="A321" s="69"/>
      <c r="B321" s="70"/>
      <c r="C321" s="71"/>
      <c r="D321" s="71"/>
    </row>
    <row r="322" customFormat="false" ht="15.75" hidden="false" customHeight="false" outlineLevel="0" collapsed="false">
      <c r="A322" s="69"/>
      <c r="B322" s="70"/>
      <c r="C322" s="71"/>
      <c r="D322" s="71"/>
    </row>
    <row r="323" customFormat="false" ht="15.75" hidden="false" customHeight="false" outlineLevel="0" collapsed="false">
      <c r="A323" s="69"/>
      <c r="B323" s="70"/>
      <c r="C323" s="71"/>
      <c r="D323" s="71"/>
    </row>
    <row r="324" customFormat="false" ht="15.75" hidden="false" customHeight="false" outlineLevel="0" collapsed="false">
      <c r="A324" s="69"/>
      <c r="B324" s="70"/>
      <c r="C324" s="71"/>
      <c r="D324" s="71"/>
    </row>
    <row r="325" customFormat="false" ht="15.75" hidden="false" customHeight="false" outlineLevel="0" collapsed="false">
      <c r="A325" s="69"/>
      <c r="B325" s="70"/>
      <c r="C325" s="71"/>
      <c r="D325" s="71"/>
    </row>
    <row r="326" customFormat="false" ht="15.75" hidden="false" customHeight="false" outlineLevel="0" collapsed="false">
      <c r="A326" s="69"/>
      <c r="B326" s="70"/>
      <c r="C326" s="71"/>
      <c r="D326" s="71"/>
    </row>
    <row r="327" customFormat="false" ht="15.75" hidden="false" customHeight="false" outlineLevel="0" collapsed="false">
      <c r="A327" s="69"/>
      <c r="B327" s="70"/>
      <c r="C327" s="71"/>
      <c r="D327" s="71"/>
    </row>
    <row r="328" customFormat="false" ht="15.75" hidden="false" customHeight="false" outlineLevel="0" collapsed="false">
      <c r="A328" s="69"/>
      <c r="B328" s="70"/>
      <c r="C328" s="71"/>
      <c r="D328" s="71"/>
    </row>
    <row r="329" customFormat="false" ht="15.75" hidden="false" customHeight="false" outlineLevel="0" collapsed="false">
      <c r="A329" s="69"/>
      <c r="B329" s="70"/>
      <c r="C329" s="71"/>
      <c r="D329" s="71"/>
    </row>
    <row r="330" customFormat="false" ht="15.75" hidden="false" customHeight="false" outlineLevel="0" collapsed="false">
      <c r="A330" s="69"/>
      <c r="B330" s="70"/>
      <c r="C330" s="71"/>
      <c r="D330" s="71"/>
    </row>
    <row r="331" customFormat="false" ht="15.75" hidden="false" customHeight="false" outlineLevel="0" collapsed="false">
      <c r="A331" s="69"/>
      <c r="B331" s="70"/>
      <c r="C331" s="71"/>
      <c r="D331" s="71"/>
    </row>
    <row r="332" customFormat="false" ht="15.75" hidden="false" customHeight="false" outlineLevel="0" collapsed="false">
      <c r="A332" s="69"/>
      <c r="B332" s="70"/>
      <c r="C332" s="71"/>
      <c r="D332" s="71"/>
    </row>
    <row r="333" customFormat="false" ht="15.75" hidden="false" customHeight="false" outlineLevel="0" collapsed="false">
      <c r="A333" s="69"/>
      <c r="B333" s="70"/>
      <c r="C333" s="71"/>
      <c r="D333" s="71"/>
    </row>
    <row r="334" customFormat="false" ht="15.75" hidden="false" customHeight="false" outlineLevel="0" collapsed="false">
      <c r="A334" s="69"/>
      <c r="B334" s="70"/>
      <c r="C334" s="71"/>
      <c r="D334" s="71"/>
    </row>
    <row r="335" customFormat="false" ht="15.75" hidden="false" customHeight="false" outlineLevel="0" collapsed="false">
      <c r="A335" s="69"/>
      <c r="B335" s="70"/>
      <c r="C335" s="71"/>
      <c r="D335" s="71"/>
    </row>
    <row r="336" customFormat="false" ht="15.75" hidden="false" customHeight="false" outlineLevel="0" collapsed="false">
      <c r="A336" s="69"/>
      <c r="B336" s="70"/>
      <c r="C336" s="71"/>
      <c r="D336" s="71"/>
    </row>
    <row r="337" customFormat="false" ht="15.75" hidden="false" customHeight="false" outlineLevel="0" collapsed="false">
      <c r="A337" s="69"/>
      <c r="B337" s="70"/>
      <c r="C337" s="71"/>
      <c r="D337" s="71"/>
    </row>
    <row r="338" customFormat="false" ht="15.75" hidden="false" customHeight="false" outlineLevel="0" collapsed="false">
      <c r="A338" s="69"/>
      <c r="B338" s="70"/>
      <c r="C338" s="71"/>
      <c r="D338" s="71"/>
    </row>
    <row r="339" customFormat="false" ht="15.75" hidden="false" customHeight="false" outlineLevel="0" collapsed="false">
      <c r="A339" s="69"/>
      <c r="B339" s="70"/>
      <c r="C339" s="71"/>
      <c r="D339" s="71"/>
    </row>
    <row r="340" customFormat="false" ht="15.75" hidden="false" customHeight="false" outlineLevel="0" collapsed="false">
      <c r="A340" s="69"/>
      <c r="B340" s="70"/>
      <c r="C340" s="71"/>
      <c r="D340" s="71"/>
    </row>
    <row r="341" customFormat="false" ht="15.75" hidden="false" customHeight="false" outlineLevel="0" collapsed="false">
      <c r="A341" s="69"/>
      <c r="B341" s="70"/>
      <c r="C341" s="71"/>
      <c r="D341" s="71"/>
    </row>
    <row r="342" customFormat="false" ht="15.75" hidden="false" customHeight="false" outlineLevel="0" collapsed="false">
      <c r="A342" s="69"/>
      <c r="B342" s="70"/>
      <c r="C342" s="71"/>
      <c r="D342" s="71"/>
    </row>
    <row r="343" customFormat="false" ht="15.75" hidden="false" customHeight="false" outlineLevel="0" collapsed="false">
      <c r="A343" s="69"/>
      <c r="B343" s="70"/>
      <c r="C343" s="71"/>
      <c r="D343" s="71"/>
    </row>
    <row r="344" customFormat="false" ht="15.75" hidden="false" customHeight="false" outlineLevel="0" collapsed="false">
      <c r="A344" s="69"/>
      <c r="B344" s="70"/>
      <c r="C344" s="71"/>
      <c r="D344" s="71"/>
    </row>
    <row r="345" customFormat="false" ht="15.75" hidden="false" customHeight="false" outlineLevel="0" collapsed="false">
      <c r="A345" s="69"/>
      <c r="B345" s="70"/>
      <c r="C345" s="71"/>
      <c r="D345" s="71"/>
    </row>
    <row r="346" customFormat="false" ht="15.75" hidden="false" customHeight="false" outlineLevel="0" collapsed="false">
      <c r="A346" s="69"/>
      <c r="B346" s="70"/>
      <c r="C346" s="71"/>
      <c r="D346" s="71"/>
    </row>
    <row r="347" customFormat="false" ht="15.75" hidden="false" customHeight="false" outlineLevel="0" collapsed="false">
      <c r="A347" s="69"/>
      <c r="B347" s="70"/>
      <c r="C347" s="71"/>
      <c r="D347" s="71"/>
    </row>
    <row r="348" customFormat="false" ht="15.75" hidden="false" customHeight="false" outlineLevel="0" collapsed="false">
      <c r="A348" s="69"/>
      <c r="B348" s="70"/>
      <c r="C348" s="71"/>
      <c r="D348" s="71"/>
    </row>
    <row r="349" customFormat="false" ht="15.75" hidden="false" customHeight="false" outlineLevel="0" collapsed="false">
      <c r="A349" s="69"/>
      <c r="B349" s="70"/>
      <c r="C349" s="71"/>
      <c r="D349" s="71"/>
    </row>
    <row r="350" customFormat="false" ht="15.75" hidden="false" customHeight="false" outlineLevel="0" collapsed="false">
      <c r="A350" s="69"/>
      <c r="B350" s="70"/>
      <c r="C350" s="71"/>
      <c r="D350" s="71"/>
    </row>
    <row r="351" customFormat="false" ht="15.75" hidden="false" customHeight="false" outlineLevel="0" collapsed="false">
      <c r="A351" s="69"/>
      <c r="B351" s="70"/>
      <c r="C351" s="71"/>
      <c r="D351" s="71"/>
    </row>
    <row r="352" customFormat="false" ht="15.75" hidden="false" customHeight="false" outlineLevel="0" collapsed="false">
      <c r="A352" s="69"/>
      <c r="B352" s="70"/>
      <c r="C352" s="71"/>
      <c r="D352" s="71"/>
    </row>
    <row r="353" customFormat="false" ht="15.75" hidden="false" customHeight="false" outlineLevel="0" collapsed="false">
      <c r="A353" s="69"/>
      <c r="B353" s="70"/>
      <c r="C353" s="71"/>
      <c r="D353" s="71"/>
    </row>
    <row r="354" customFormat="false" ht="15.75" hidden="false" customHeight="false" outlineLevel="0" collapsed="false">
      <c r="A354" s="69"/>
      <c r="B354" s="70"/>
      <c r="C354" s="71"/>
      <c r="D354" s="71"/>
    </row>
    <row r="355" customFormat="false" ht="15.75" hidden="false" customHeight="false" outlineLevel="0" collapsed="false">
      <c r="A355" s="69"/>
      <c r="B355" s="70"/>
      <c r="C355" s="71"/>
      <c r="D355" s="71"/>
    </row>
    <row r="356" customFormat="false" ht="15.75" hidden="false" customHeight="false" outlineLevel="0" collapsed="false">
      <c r="A356" s="69"/>
      <c r="B356" s="70"/>
      <c r="C356" s="71"/>
      <c r="D356" s="71"/>
    </row>
    <row r="357" customFormat="false" ht="15.75" hidden="false" customHeight="false" outlineLevel="0" collapsed="false">
      <c r="A357" s="69"/>
      <c r="B357" s="70"/>
      <c r="C357" s="71"/>
      <c r="D357" s="71"/>
    </row>
    <row r="358" customFormat="false" ht="15.75" hidden="false" customHeight="false" outlineLevel="0" collapsed="false">
      <c r="A358" s="69"/>
      <c r="B358" s="70"/>
      <c r="C358" s="71"/>
      <c r="D358" s="71"/>
    </row>
    <row r="359" customFormat="false" ht="15.75" hidden="false" customHeight="false" outlineLevel="0" collapsed="false">
      <c r="A359" s="69"/>
      <c r="B359" s="70"/>
      <c r="C359" s="71"/>
      <c r="D359" s="71"/>
    </row>
    <row r="360" customFormat="false" ht="15.75" hidden="false" customHeight="false" outlineLevel="0" collapsed="false">
      <c r="A360" s="69"/>
      <c r="B360" s="70"/>
      <c r="C360" s="71"/>
      <c r="D360" s="71"/>
    </row>
    <row r="361" customFormat="false" ht="15.75" hidden="false" customHeight="false" outlineLevel="0" collapsed="false">
      <c r="A361" s="69"/>
      <c r="B361" s="70"/>
      <c r="C361" s="71"/>
      <c r="D361" s="71"/>
    </row>
    <row r="362" customFormat="false" ht="15.75" hidden="false" customHeight="false" outlineLevel="0" collapsed="false">
      <c r="A362" s="69"/>
      <c r="B362" s="70"/>
      <c r="C362" s="71"/>
      <c r="D362" s="71"/>
    </row>
    <row r="363" customFormat="false" ht="15.75" hidden="false" customHeight="false" outlineLevel="0" collapsed="false">
      <c r="A363" s="69"/>
      <c r="B363" s="70"/>
      <c r="C363" s="71"/>
      <c r="D363" s="71"/>
    </row>
    <row r="364" customFormat="false" ht="15.75" hidden="false" customHeight="false" outlineLevel="0" collapsed="false">
      <c r="A364" s="69"/>
      <c r="B364" s="70"/>
      <c r="C364" s="71"/>
      <c r="D364" s="71"/>
    </row>
    <row r="365" customFormat="false" ht="15.75" hidden="false" customHeight="false" outlineLevel="0" collapsed="false">
      <c r="A365" s="69"/>
      <c r="B365" s="70"/>
      <c r="C365" s="71"/>
      <c r="D365" s="71"/>
    </row>
    <row r="366" customFormat="false" ht="15.75" hidden="false" customHeight="false" outlineLevel="0" collapsed="false">
      <c r="A366" s="69"/>
      <c r="B366" s="70"/>
      <c r="C366" s="71"/>
      <c r="D366" s="71"/>
    </row>
    <row r="367" customFormat="false" ht="15.75" hidden="false" customHeight="false" outlineLevel="0" collapsed="false">
      <c r="A367" s="69"/>
      <c r="B367" s="70"/>
      <c r="C367" s="71"/>
      <c r="D367" s="71"/>
    </row>
    <row r="368" customFormat="false" ht="15.75" hidden="false" customHeight="false" outlineLevel="0" collapsed="false">
      <c r="A368" s="69"/>
      <c r="B368" s="70"/>
      <c r="C368" s="71"/>
      <c r="D368" s="71"/>
    </row>
    <row r="369" customFormat="false" ht="15.75" hidden="false" customHeight="false" outlineLevel="0" collapsed="false">
      <c r="A369" s="69"/>
      <c r="B369" s="70"/>
      <c r="C369" s="71"/>
      <c r="D369" s="71"/>
    </row>
    <row r="370" customFormat="false" ht="15.75" hidden="false" customHeight="false" outlineLevel="0" collapsed="false">
      <c r="A370" s="69"/>
      <c r="B370" s="70"/>
      <c r="C370" s="71"/>
      <c r="D370" s="71"/>
    </row>
    <row r="371" customFormat="false" ht="15.75" hidden="false" customHeight="false" outlineLevel="0" collapsed="false">
      <c r="A371" s="69"/>
      <c r="B371" s="70"/>
      <c r="C371" s="71"/>
      <c r="D371" s="71"/>
    </row>
    <row r="372" customFormat="false" ht="15.75" hidden="false" customHeight="false" outlineLevel="0" collapsed="false">
      <c r="A372" s="69"/>
      <c r="B372" s="70"/>
      <c r="C372" s="71"/>
      <c r="D372" s="71"/>
    </row>
    <row r="373" customFormat="false" ht="15.75" hidden="false" customHeight="false" outlineLevel="0" collapsed="false">
      <c r="A373" s="69"/>
      <c r="B373" s="70"/>
      <c r="C373" s="71"/>
      <c r="D373" s="71"/>
    </row>
    <row r="374" customFormat="false" ht="15.75" hidden="false" customHeight="false" outlineLevel="0" collapsed="false">
      <c r="A374" s="69"/>
      <c r="B374" s="70"/>
      <c r="C374" s="71"/>
      <c r="D374" s="71"/>
    </row>
    <row r="375" customFormat="false" ht="15.75" hidden="false" customHeight="false" outlineLevel="0" collapsed="false">
      <c r="A375" s="69"/>
      <c r="B375" s="70"/>
      <c r="C375" s="71"/>
      <c r="D375" s="71"/>
    </row>
    <row r="376" customFormat="false" ht="15.75" hidden="false" customHeight="false" outlineLevel="0" collapsed="false">
      <c r="A376" s="69"/>
      <c r="B376" s="70"/>
      <c r="C376" s="71"/>
      <c r="D376" s="71"/>
    </row>
    <row r="377" customFormat="false" ht="15.75" hidden="false" customHeight="false" outlineLevel="0" collapsed="false">
      <c r="A377" s="69"/>
      <c r="B377" s="70"/>
      <c r="C377" s="71"/>
      <c r="D377" s="71"/>
    </row>
    <row r="378" customFormat="false" ht="15.75" hidden="false" customHeight="false" outlineLevel="0" collapsed="false">
      <c r="A378" s="69"/>
      <c r="B378" s="70"/>
      <c r="C378" s="71"/>
      <c r="D378" s="71"/>
    </row>
    <row r="379" customFormat="false" ht="15.75" hidden="false" customHeight="false" outlineLevel="0" collapsed="false">
      <c r="A379" s="69"/>
      <c r="B379" s="70"/>
      <c r="C379" s="71"/>
      <c r="D379" s="71"/>
    </row>
    <row r="380" customFormat="false" ht="15.75" hidden="false" customHeight="false" outlineLevel="0" collapsed="false">
      <c r="A380" s="69"/>
      <c r="B380" s="70"/>
      <c r="C380" s="71"/>
      <c r="D380" s="71"/>
    </row>
    <row r="381" customFormat="false" ht="15.75" hidden="false" customHeight="false" outlineLevel="0" collapsed="false">
      <c r="A381" s="69"/>
      <c r="B381" s="70"/>
      <c r="C381" s="71"/>
      <c r="D381" s="71"/>
    </row>
    <row r="382" customFormat="false" ht="15.75" hidden="false" customHeight="false" outlineLevel="0" collapsed="false">
      <c r="A382" s="69"/>
      <c r="B382" s="70"/>
      <c r="C382" s="71"/>
      <c r="D382" s="71"/>
    </row>
    <row r="383" customFormat="false" ht="15.75" hidden="false" customHeight="false" outlineLevel="0" collapsed="false">
      <c r="A383" s="69"/>
      <c r="B383" s="70"/>
      <c r="C383" s="71"/>
      <c r="D383" s="71"/>
    </row>
    <row r="384" customFormat="false" ht="15.75" hidden="false" customHeight="false" outlineLevel="0" collapsed="false">
      <c r="A384" s="69"/>
      <c r="B384" s="70"/>
      <c r="C384" s="71"/>
      <c r="D384" s="71"/>
    </row>
    <row r="385" customFormat="false" ht="15.75" hidden="false" customHeight="false" outlineLevel="0" collapsed="false">
      <c r="A385" s="69"/>
      <c r="B385" s="70"/>
      <c r="C385" s="71"/>
      <c r="D385" s="71"/>
    </row>
    <row r="386" customFormat="false" ht="15.75" hidden="false" customHeight="false" outlineLevel="0" collapsed="false">
      <c r="A386" s="69"/>
      <c r="B386" s="70"/>
      <c r="C386" s="71"/>
      <c r="D386" s="71"/>
    </row>
    <row r="387" customFormat="false" ht="15.75" hidden="false" customHeight="false" outlineLevel="0" collapsed="false">
      <c r="A387" s="69"/>
      <c r="B387" s="70"/>
      <c r="C387" s="71"/>
      <c r="D387" s="71"/>
    </row>
    <row r="388" customFormat="false" ht="15.75" hidden="false" customHeight="false" outlineLevel="0" collapsed="false">
      <c r="A388" s="69"/>
      <c r="B388" s="70"/>
      <c r="C388" s="71"/>
      <c r="D388" s="71"/>
    </row>
    <row r="389" customFormat="false" ht="15.75" hidden="false" customHeight="false" outlineLevel="0" collapsed="false">
      <c r="A389" s="69"/>
      <c r="B389" s="70"/>
      <c r="C389" s="71"/>
      <c r="D389" s="71"/>
    </row>
    <row r="390" customFormat="false" ht="15.75" hidden="false" customHeight="false" outlineLevel="0" collapsed="false">
      <c r="A390" s="69"/>
      <c r="B390" s="70"/>
      <c r="C390" s="71"/>
      <c r="D390" s="71"/>
    </row>
    <row r="391" customFormat="false" ht="15.75" hidden="false" customHeight="false" outlineLevel="0" collapsed="false">
      <c r="A391" s="69"/>
      <c r="B391" s="70"/>
      <c r="C391" s="71"/>
      <c r="D391" s="71"/>
    </row>
    <row r="392" customFormat="false" ht="15.75" hidden="false" customHeight="false" outlineLevel="0" collapsed="false">
      <c r="A392" s="69"/>
      <c r="B392" s="70"/>
      <c r="C392" s="71"/>
      <c r="D392" s="71"/>
    </row>
    <row r="393" customFormat="false" ht="15.75" hidden="false" customHeight="false" outlineLevel="0" collapsed="false">
      <c r="A393" s="69"/>
      <c r="B393" s="70"/>
      <c r="C393" s="71"/>
      <c r="D393" s="71"/>
    </row>
    <row r="394" customFormat="false" ht="15.75" hidden="false" customHeight="false" outlineLevel="0" collapsed="false">
      <c r="A394" s="69"/>
      <c r="B394" s="70"/>
      <c r="C394" s="71"/>
      <c r="D394" s="71"/>
    </row>
    <row r="395" customFormat="false" ht="15.75" hidden="false" customHeight="false" outlineLevel="0" collapsed="false">
      <c r="A395" s="69"/>
      <c r="B395" s="70"/>
      <c r="C395" s="71"/>
      <c r="D395" s="71"/>
    </row>
    <row r="396" customFormat="false" ht="15.75" hidden="false" customHeight="false" outlineLevel="0" collapsed="false">
      <c r="A396" s="69"/>
      <c r="B396" s="70"/>
      <c r="C396" s="71"/>
      <c r="D396" s="71"/>
    </row>
    <row r="397" customFormat="false" ht="15.75" hidden="false" customHeight="false" outlineLevel="0" collapsed="false">
      <c r="A397" s="69"/>
      <c r="B397" s="70"/>
      <c r="C397" s="71"/>
      <c r="D397" s="71"/>
    </row>
    <row r="398" customFormat="false" ht="15.75" hidden="false" customHeight="false" outlineLevel="0" collapsed="false">
      <c r="A398" s="69"/>
      <c r="B398" s="70"/>
      <c r="C398" s="71"/>
      <c r="D398" s="71"/>
    </row>
    <row r="399" customFormat="false" ht="15.75" hidden="false" customHeight="false" outlineLevel="0" collapsed="false">
      <c r="A399" s="69"/>
      <c r="B399" s="70"/>
      <c r="C399" s="71"/>
      <c r="D399" s="71"/>
    </row>
    <row r="400" customFormat="false" ht="15.75" hidden="false" customHeight="false" outlineLevel="0" collapsed="false">
      <c r="A400" s="69"/>
      <c r="B400" s="70"/>
      <c r="C400" s="71"/>
      <c r="D400" s="71"/>
    </row>
    <row r="401" customFormat="false" ht="15.75" hidden="false" customHeight="false" outlineLevel="0" collapsed="false">
      <c r="A401" s="69"/>
      <c r="B401" s="70"/>
      <c r="C401" s="71"/>
      <c r="D401" s="71"/>
    </row>
    <row r="402" customFormat="false" ht="15.75" hidden="false" customHeight="false" outlineLevel="0" collapsed="false">
      <c r="A402" s="69"/>
      <c r="B402" s="70"/>
      <c r="C402" s="71"/>
      <c r="D402" s="71"/>
    </row>
    <row r="403" customFormat="false" ht="15.75" hidden="false" customHeight="false" outlineLevel="0" collapsed="false">
      <c r="A403" s="69"/>
      <c r="B403" s="70"/>
      <c r="C403" s="71"/>
      <c r="D403" s="71"/>
    </row>
    <row r="404" customFormat="false" ht="15.75" hidden="false" customHeight="false" outlineLevel="0" collapsed="false">
      <c r="A404" s="69"/>
      <c r="B404" s="70"/>
      <c r="C404" s="71"/>
      <c r="D404" s="71"/>
    </row>
    <row r="405" customFormat="false" ht="15.75" hidden="false" customHeight="false" outlineLevel="0" collapsed="false">
      <c r="A405" s="69"/>
      <c r="B405" s="70"/>
      <c r="C405" s="71"/>
      <c r="D405" s="71"/>
    </row>
    <row r="406" customFormat="false" ht="15.75" hidden="false" customHeight="false" outlineLevel="0" collapsed="false">
      <c r="A406" s="69"/>
      <c r="B406" s="70"/>
      <c r="C406" s="71"/>
      <c r="D406" s="71"/>
    </row>
    <row r="407" customFormat="false" ht="15.75" hidden="false" customHeight="false" outlineLevel="0" collapsed="false">
      <c r="A407" s="69"/>
      <c r="B407" s="70"/>
      <c r="C407" s="71"/>
      <c r="D407" s="71"/>
    </row>
    <row r="408" customFormat="false" ht="15.75" hidden="false" customHeight="false" outlineLevel="0" collapsed="false">
      <c r="A408" s="69"/>
      <c r="B408" s="70"/>
      <c r="C408" s="71"/>
      <c r="D408" s="71"/>
    </row>
    <row r="409" customFormat="false" ht="15.75" hidden="false" customHeight="false" outlineLevel="0" collapsed="false">
      <c r="A409" s="69"/>
      <c r="B409" s="70"/>
      <c r="C409" s="71"/>
      <c r="D409" s="71"/>
    </row>
    <row r="410" customFormat="false" ht="15.75" hidden="false" customHeight="false" outlineLevel="0" collapsed="false">
      <c r="A410" s="69"/>
      <c r="B410" s="70"/>
      <c r="C410" s="71"/>
      <c r="D410" s="71"/>
    </row>
    <row r="411" customFormat="false" ht="15.75" hidden="false" customHeight="false" outlineLevel="0" collapsed="false">
      <c r="A411" s="69"/>
      <c r="B411" s="70"/>
      <c r="C411" s="71"/>
      <c r="D411" s="71"/>
    </row>
    <row r="412" customFormat="false" ht="15.75" hidden="false" customHeight="false" outlineLevel="0" collapsed="false">
      <c r="A412" s="69"/>
      <c r="B412" s="70"/>
      <c r="C412" s="71"/>
      <c r="D412" s="71"/>
    </row>
    <row r="413" customFormat="false" ht="15.75" hidden="false" customHeight="false" outlineLevel="0" collapsed="false">
      <c r="A413" s="69"/>
      <c r="B413" s="70"/>
      <c r="C413" s="71"/>
      <c r="D413" s="71"/>
    </row>
    <row r="414" customFormat="false" ht="15.75" hidden="false" customHeight="false" outlineLevel="0" collapsed="false">
      <c r="A414" s="69"/>
      <c r="B414" s="70"/>
      <c r="C414" s="71"/>
      <c r="D414" s="71"/>
    </row>
    <row r="415" customFormat="false" ht="15.75" hidden="false" customHeight="false" outlineLevel="0" collapsed="false">
      <c r="A415" s="69"/>
      <c r="B415" s="70"/>
      <c r="C415" s="71"/>
      <c r="D415" s="71"/>
    </row>
    <row r="416" customFormat="false" ht="15.75" hidden="false" customHeight="false" outlineLevel="0" collapsed="false">
      <c r="A416" s="69"/>
      <c r="B416" s="70"/>
      <c r="C416" s="71"/>
      <c r="D416" s="71"/>
    </row>
    <row r="417" customFormat="false" ht="15.75" hidden="false" customHeight="false" outlineLevel="0" collapsed="false">
      <c r="A417" s="69"/>
      <c r="B417" s="70"/>
      <c r="C417" s="71"/>
      <c r="D417" s="71"/>
    </row>
    <row r="418" customFormat="false" ht="15.75" hidden="false" customHeight="false" outlineLevel="0" collapsed="false">
      <c r="A418" s="69"/>
      <c r="B418" s="70"/>
      <c r="C418" s="71"/>
      <c r="D418" s="71"/>
    </row>
    <row r="419" customFormat="false" ht="15.75" hidden="false" customHeight="false" outlineLevel="0" collapsed="false">
      <c r="A419" s="69"/>
      <c r="B419" s="70"/>
      <c r="C419" s="71"/>
      <c r="D419" s="71"/>
    </row>
    <row r="420" customFormat="false" ht="15.75" hidden="false" customHeight="false" outlineLevel="0" collapsed="false">
      <c r="A420" s="69"/>
      <c r="B420" s="70"/>
      <c r="C420" s="71"/>
      <c r="D420" s="71"/>
    </row>
    <row r="421" customFormat="false" ht="15.75" hidden="false" customHeight="false" outlineLevel="0" collapsed="false">
      <c r="A421" s="69"/>
      <c r="B421" s="70"/>
      <c r="C421" s="71"/>
      <c r="D421" s="71"/>
    </row>
    <row r="422" customFormat="false" ht="15.75" hidden="false" customHeight="false" outlineLevel="0" collapsed="false">
      <c r="A422" s="69"/>
      <c r="B422" s="70"/>
      <c r="C422" s="71"/>
      <c r="D422" s="71"/>
    </row>
    <row r="423" customFormat="false" ht="15.75" hidden="false" customHeight="false" outlineLevel="0" collapsed="false">
      <c r="A423" s="69"/>
      <c r="B423" s="70"/>
      <c r="C423" s="71"/>
      <c r="D423" s="71"/>
    </row>
    <row r="424" customFormat="false" ht="15.75" hidden="false" customHeight="false" outlineLevel="0" collapsed="false">
      <c r="A424" s="69"/>
      <c r="B424" s="70"/>
      <c r="C424" s="71"/>
      <c r="D424" s="71"/>
    </row>
    <row r="425" customFormat="false" ht="15.75" hidden="false" customHeight="false" outlineLevel="0" collapsed="false">
      <c r="A425" s="69"/>
      <c r="B425" s="70"/>
      <c r="C425" s="71"/>
      <c r="D425" s="71"/>
    </row>
    <row r="426" customFormat="false" ht="15.75" hidden="false" customHeight="false" outlineLevel="0" collapsed="false">
      <c r="A426" s="69"/>
      <c r="B426" s="70"/>
      <c r="C426" s="71"/>
      <c r="D426" s="71"/>
    </row>
    <row r="427" customFormat="false" ht="15.75" hidden="false" customHeight="false" outlineLevel="0" collapsed="false">
      <c r="A427" s="69"/>
      <c r="B427" s="70"/>
      <c r="C427" s="71"/>
      <c r="D427" s="71"/>
    </row>
    <row r="428" customFormat="false" ht="15.75" hidden="false" customHeight="false" outlineLevel="0" collapsed="false">
      <c r="A428" s="69"/>
      <c r="B428" s="70"/>
      <c r="C428" s="71"/>
      <c r="D428" s="71"/>
    </row>
    <row r="429" customFormat="false" ht="15.75" hidden="false" customHeight="false" outlineLevel="0" collapsed="false">
      <c r="A429" s="69"/>
      <c r="B429" s="70"/>
      <c r="C429" s="71"/>
      <c r="D429" s="71"/>
    </row>
    <row r="430" customFormat="false" ht="15.75" hidden="false" customHeight="false" outlineLevel="0" collapsed="false">
      <c r="A430" s="69"/>
      <c r="B430" s="70"/>
      <c r="C430" s="71"/>
      <c r="D430" s="71"/>
    </row>
    <row r="431" customFormat="false" ht="15.75" hidden="false" customHeight="false" outlineLevel="0" collapsed="false">
      <c r="A431" s="69"/>
      <c r="B431" s="70"/>
      <c r="C431" s="71"/>
      <c r="D431" s="71"/>
    </row>
    <row r="432" customFormat="false" ht="15.75" hidden="false" customHeight="false" outlineLevel="0" collapsed="false">
      <c r="A432" s="69"/>
      <c r="B432" s="70"/>
      <c r="C432" s="71"/>
      <c r="D432" s="71"/>
    </row>
    <row r="433" customFormat="false" ht="15.75" hidden="false" customHeight="false" outlineLevel="0" collapsed="false">
      <c r="A433" s="69"/>
      <c r="B433" s="70"/>
      <c r="C433" s="71"/>
      <c r="D433" s="71"/>
    </row>
    <row r="434" customFormat="false" ht="15.75" hidden="false" customHeight="false" outlineLevel="0" collapsed="false">
      <c r="A434" s="69"/>
      <c r="B434" s="70"/>
      <c r="C434" s="71"/>
      <c r="D434" s="71"/>
    </row>
    <row r="435" customFormat="false" ht="15.75" hidden="false" customHeight="false" outlineLevel="0" collapsed="false">
      <c r="A435" s="69"/>
      <c r="B435" s="70"/>
      <c r="C435" s="71"/>
      <c r="D435" s="71"/>
    </row>
    <row r="436" customFormat="false" ht="15.75" hidden="false" customHeight="false" outlineLevel="0" collapsed="false">
      <c r="A436" s="69"/>
      <c r="B436" s="70"/>
      <c r="C436" s="71"/>
      <c r="D436" s="71"/>
    </row>
    <row r="437" customFormat="false" ht="15.75" hidden="false" customHeight="false" outlineLevel="0" collapsed="false">
      <c r="A437" s="69"/>
      <c r="B437" s="70"/>
      <c r="C437" s="71"/>
      <c r="D437" s="71"/>
    </row>
    <row r="438" customFormat="false" ht="15.75" hidden="false" customHeight="false" outlineLevel="0" collapsed="false">
      <c r="A438" s="69"/>
      <c r="B438" s="70"/>
      <c r="C438" s="71"/>
      <c r="D438" s="71"/>
    </row>
    <row r="439" customFormat="false" ht="15.75" hidden="false" customHeight="false" outlineLevel="0" collapsed="false">
      <c r="A439" s="69"/>
      <c r="B439" s="70"/>
      <c r="C439" s="71"/>
      <c r="D439" s="71"/>
    </row>
    <row r="440" customFormat="false" ht="15.75" hidden="false" customHeight="false" outlineLevel="0" collapsed="false">
      <c r="A440" s="69"/>
      <c r="B440" s="70"/>
      <c r="C440" s="71"/>
      <c r="D440" s="71"/>
    </row>
    <row r="441" customFormat="false" ht="15.75" hidden="false" customHeight="false" outlineLevel="0" collapsed="false">
      <c r="A441" s="69"/>
      <c r="B441" s="70"/>
      <c r="C441" s="71"/>
      <c r="D441" s="71"/>
    </row>
    <row r="442" customFormat="false" ht="15.75" hidden="false" customHeight="false" outlineLevel="0" collapsed="false">
      <c r="A442" s="69"/>
      <c r="B442" s="70"/>
      <c r="C442" s="71"/>
      <c r="D442" s="71"/>
    </row>
    <row r="443" customFormat="false" ht="15.75" hidden="false" customHeight="false" outlineLevel="0" collapsed="false">
      <c r="A443" s="69"/>
      <c r="B443" s="70"/>
      <c r="C443" s="71"/>
      <c r="D443" s="71"/>
    </row>
    <row r="444" customFormat="false" ht="15.75" hidden="false" customHeight="false" outlineLevel="0" collapsed="false">
      <c r="A444" s="69"/>
      <c r="B444" s="70"/>
      <c r="C444" s="71"/>
      <c r="D444" s="71"/>
    </row>
    <row r="445" customFormat="false" ht="15.75" hidden="false" customHeight="false" outlineLevel="0" collapsed="false">
      <c r="A445" s="69"/>
      <c r="B445" s="70"/>
      <c r="C445" s="71"/>
      <c r="D445" s="71"/>
    </row>
    <row r="446" customFormat="false" ht="15.75" hidden="false" customHeight="false" outlineLevel="0" collapsed="false">
      <c r="A446" s="69"/>
      <c r="B446" s="70"/>
      <c r="C446" s="71"/>
      <c r="D446" s="71"/>
    </row>
    <row r="447" customFormat="false" ht="15.75" hidden="false" customHeight="false" outlineLevel="0" collapsed="false">
      <c r="A447" s="69"/>
      <c r="B447" s="70"/>
      <c r="C447" s="71"/>
      <c r="D447" s="71"/>
    </row>
    <row r="448" customFormat="false" ht="15.75" hidden="false" customHeight="false" outlineLevel="0" collapsed="false">
      <c r="A448" s="69"/>
      <c r="B448" s="70"/>
      <c r="C448" s="71"/>
      <c r="D448" s="71"/>
    </row>
    <row r="449" customFormat="false" ht="15.75" hidden="false" customHeight="false" outlineLevel="0" collapsed="false">
      <c r="A449" s="69"/>
      <c r="B449" s="70"/>
      <c r="C449" s="71"/>
      <c r="D449" s="71"/>
    </row>
    <row r="450" customFormat="false" ht="15.75" hidden="false" customHeight="false" outlineLevel="0" collapsed="false">
      <c r="A450" s="69"/>
      <c r="B450" s="70"/>
      <c r="C450" s="71"/>
      <c r="D450" s="71"/>
    </row>
    <row r="451" customFormat="false" ht="15.75" hidden="false" customHeight="false" outlineLevel="0" collapsed="false">
      <c r="A451" s="69"/>
      <c r="B451" s="70"/>
      <c r="C451" s="71"/>
      <c r="D451" s="71"/>
    </row>
    <row r="452" customFormat="false" ht="15.75" hidden="false" customHeight="false" outlineLevel="0" collapsed="false">
      <c r="A452" s="69"/>
      <c r="B452" s="70"/>
      <c r="C452" s="71"/>
      <c r="D452" s="71"/>
    </row>
    <row r="453" customFormat="false" ht="15.75" hidden="false" customHeight="false" outlineLevel="0" collapsed="false">
      <c r="A453" s="69"/>
      <c r="B453" s="70"/>
      <c r="C453" s="71"/>
      <c r="D453" s="71"/>
    </row>
    <row r="454" customFormat="false" ht="15.75" hidden="false" customHeight="false" outlineLevel="0" collapsed="false">
      <c r="A454" s="69"/>
      <c r="B454" s="70"/>
      <c r="C454" s="71"/>
      <c r="D454" s="71"/>
    </row>
    <row r="455" customFormat="false" ht="15.75" hidden="false" customHeight="false" outlineLevel="0" collapsed="false">
      <c r="A455" s="69"/>
      <c r="B455" s="70"/>
      <c r="C455" s="71"/>
      <c r="D455" s="71"/>
    </row>
    <row r="456" customFormat="false" ht="15.75" hidden="false" customHeight="false" outlineLevel="0" collapsed="false">
      <c r="A456" s="69"/>
      <c r="B456" s="70"/>
      <c r="C456" s="71"/>
      <c r="D456" s="71"/>
    </row>
    <row r="457" customFormat="false" ht="15.75" hidden="false" customHeight="false" outlineLevel="0" collapsed="false">
      <c r="A457" s="69"/>
      <c r="B457" s="70"/>
      <c r="C457" s="71"/>
      <c r="D457" s="71"/>
    </row>
    <row r="458" customFormat="false" ht="15.75" hidden="false" customHeight="false" outlineLevel="0" collapsed="false">
      <c r="A458" s="69"/>
      <c r="B458" s="70"/>
      <c r="C458" s="71"/>
      <c r="D458" s="71"/>
    </row>
    <row r="459" customFormat="false" ht="15.75" hidden="false" customHeight="false" outlineLevel="0" collapsed="false">
      <c r="A459" s="69"/>
      <c r="B459" s="70"/>
      <c r="C459" s="71"/>
      <c r="D459" s="71"/>
    </row>
    <row r="460" customFormat="false" ht="15.75" hidden="false" customHeight="false" outlineLevel="0" collapsed="false">
      <c r="A460" s="69"/>
      <c r="B460" s="70"/>
      <c r="C460" s="71"/>
      <c r="D460" s="71"/>
    </row>
    <row r="461" customFormat="false" ht="15.75" hidden="false" customHeight="false" outlineLevel="0" collapsed="false">
      <c r="A461" s="69"/>
      <c r="B461" s="70"/>
      <c r="C461" s="71"/>
      <c r="D461" s="71"/>
    </row>
    <row r="462" customFormat="false" ht="15.75" hidden="false" customHeight="false" outlineLevel="0" collapsed="false">
      <c r="A462" s="69"/>
      <c r="B462" s="70"/>
      <c r="C462" s="71"/>
      <c r="D462" s="71"/>
    </row>
    <row r="463" customFormat="false" ht="15.75" hidden="false" customHeight="false" outlineLevel="0" collapsed="false">
      <c r="A463" s="69"/>
      <c r="B463" s="70"/>
      <c r="C463" s="71"/>
      <c r="D463" s="71"/>
    </row>
    <row r="464" customFormat="false" ht="15.75" hidden="false" customHeight="false" outlineLevel="0" collapsed="false">
      <c r="A464" s="69"/>
      <c r="B464" s="70"/>
      <c r="C464" s="71"/>
      <c r="D464" s="71"/>
    </row>
    <row r="465" customFormat="false" ht="15.75" hidden="false" customHeight="false" outlineLevel="0" collapsed="false">
      <c r="A465" s="69"/>
      <c r="B465" s="70"/>
      <c r="C465" s="71"/>
      <c r="D465" s="71"/>
    </row>
    <row r="466" customFormat="false" ht="15.75" hidden="false" customHeight="false" outlineLevel="0" collapsed="false">
      <c r="A466" s="69"/>
      <c r="B466" s="70"/>
      <c r="C466" s="71"/>
      <c r="D466" s="71"/>
    </row>
    <row r="467" customFormat="false" ht="15.75" hidden="false" customHeight="false" outlineLevel="0" collapsed="false">
      <c r="A467" s="69"/>
      <c r="B467" s="70"/>
      <c r="C467" s="71"/>
      <c r="D467" s="71"/>
    </row>
    <row r="468" customFormat="false" ht="15.75" hidden="false" customHeight="false" outlineLevel="0" collapsed="false">
      <c r="A468" s="69"/>
      <c r="B468" s="70"/>
      <c r="C468" s="71"/>
      <c r="D468" s="71"/>
    </row>
    <row r="469" customFormat="false" ht="15.75" hidden="false" customHeight="false" outlineLevel="0" collapsed="false">
      <c r="A469" s="69"/>
      <c r="B469" s="70"/>
      <c r="C469" s="71"/>
      <c r="D469" s="71"/>
    </row>
    <row r="470" customFormat="false" ht="15.75" hidden="false" customHeight="false" outlineLevel="0" collapsed="false">
      <c r="A470" s="69"/>
      <c r="B470" s="70"/>
      <c r="C470" s="71"/>
      <c r="D470" s="71"/>
    </row>
    <row r="471" customFormat="false" ht="15.75" hidden="false" customHeight="false" outlineLevel="0" collapsed="false">
      <c r="A471" s="69"/>
      <c r="B471" s="70"/>
      <c r="C471" s="71"/>
      <c r="D471" s="71"/>
    </row>
    <row r="472" customFormat="false" ht="15.75" hidden="false" customHeight="false" outlineLevel="0" collapsed="false">
      <c r="A472" s="69"/>
      <c r="B472" s="70"/>
      <c r="C472" s="71"/>
      <c r="D472" s="71"/>
    </row>
    <row r="473" customFormat="false" ht="15.75" hidden="false" customHeight="false" outlineLevel="0" collapsed="false">
      <c r="A473" s="69"/>
      <c r="B473" s="70"/>
      <c r="C473" s="71"/>
      <c r="D473" s="71"/>
    </row>
    <row r="474" customFormat="false" ht="15.75" hidden="false" customHeight="false" outlineLevel="0" collapsed="false">
      <c r="A474" s="69"/>
      <c r="B474" s="70"/>
      <c r="C474" s="71"/>
      <c r="D474" s="71"/>
    </row>
    <row r="475" customFormat="false" ht="15.75" hidden="false" customHeight="false" outlineLevel="0" collapsed="false">
      <c r="A475" s="69"/>
      <c r="B475" s="70"/>
      <c r="C475" s="71"/>
      <c r="D475" s="71"/>
    </row>
    <row r="476" customFormat="false" ht="15.75" hidden="false" customHeight="false" outlineLevel="0" collapsed="false">
      <c r="A476" s="69"/>
      <c r="B476" s="70"/>
      <c r="C476" s="71"/>
      <c r="D476" s="71"/>
    </row>
    <row r="477" customFormat="false" ht="15.75" hidden="false" customHeight="false" outlineLevel="0" collapsed="false">
      <c r="A477" s="69"/>
      <c r="B477" s="70"/>
      <c r="C477" s="71"/>
      <c r="D477" s="71"/>
    </row>
    <row r="478" customFormat="false" ht="15.75" hidden="false" customHeight="false" outlineLevel="0" collapsed="false">
      <c r="A478" s="69"/>
      <c r="B478" s="70"/>
      <c r="C478" s="71"/>
      <c r="D478" s="71"/>
    </row>
    <row r="479" customFormat="false" ht="15.75" hidden="false" customHeight="false" outlineLevel="0" collapsed="false">
      <c r="A479" s="69"/>
      <c r="B479" s="70"/>
      <c r="C479" s="71"/>
      <c r="D479" s="71"/>
    </row>
    <row r="480" customFormat="false" ht="15.75" hidden="false" customHeight="false" outlineLevel="0" collapsed="false">
      <c r="A480" s="69"/>
      <c r="B480" s="70"/>
      <c r="C480" s="71"/>
      <c r="D480" s="71"/>
    </row>
    <row r="481" customFormat="false" ht="15.75" hidden="false" customHeight="false" outlineLevel="0" collapsed="false">
      <c r="A481" s="69"/>
      <c r="B481" s="70"/>
      <c r="C481" s="71"/>
      <c r="D481" s="71"/>
    </row>
    <row r="482" customFormat="false" ht="15.75" hidden="false" customHeight="false" outlineLevel="0" collapsed="false">
      <c r="A482" s="69"/>
      <c r="B482" s="70"/>
      <c r="C482" s="71"/>
      <c r="D482" s="71"/>
    </row>
    <row r="483" customFormat="false" ht="15.75" hidden="false" customHeight="false" outlineLevel="0" collapsed="false">
      <c r="A483" s="69"/>
      <c r="B483" s="70"/>
      <c r="C483" s="71"/>
      <c r="D483" s="71"/>
    </row>
    <row r="484" customFormat="false" ht="15.75" hidden="false" customHeight="false" outlineLevel="0" collapsed="false">
      <c r="A484" s="69"/>
      <c r="B484" s="70"/>
      <c r="C484" s="71"/>
      <c r="D484" s="71"/>
    </row>
    <row r="485" customFormat="false" ht="15.75" hidden="false" customHeight="false" outlineLevel="0" collapsed="false">
      <c r="A485" s="69"/>
      <c r="B485" s="70"/>
      <c r="C485" s="71"/>
      <c r="D485" s="71"/>
    </row>
    <row r="486" customFormat="false" ht="15.75" hidden="false" customHeight="false" outlineLevel="0" collapsed="false">
      <c r="A486" s="69"/>
      <c r="B486" s="70"/>
      <c r="C486" s="71"/>
      <c r="D486" s="71"/>
    </row>
    <row r="487" customFormat="false" ht="15.75" hidden="false" customHeight="false" outlineLevel="0" collapsed="false">
      <c r="A487" s="69"/>
      <c r="B487" s="70"/>
      <c r="C487" s="71"/>
      <c r="D487" s="71"/>
    </row>
    <row r="488" customFormat="false" ht="15.75" hidden="false" customHeight="false" outlineLevel="0" collapsed="false">
      <c r="A488" s="69"/>
      <c r="B488" s="70"/>
      <c r="C488" s="71"/>
      <c r="D488" s="71"/>
    </row>
    <row r="489" customFormat="false" ht="15.75" hidden="false" customHeight="false" outlineLevel="0" collapsed="false">
      <c r="A489" s="69"/>
      <c r="B489" s="70"/>
      <c r="C489" s="71"/>
      <c r="D489" s="71"/>
    </row>
    <row r="490" customFormat="false" ht="15.75" hidden="false" customHeight="false" outlineLevel="0" collapsed="false">
      <c r="A490" s="69"/>
      <c r="B490" s="70"/>
      <c r="C490" s="71"/>
      <c r="D490" s="71"/>
    </row>
    <row r="491" customFormat="false" ht="15.75" hidden="false" customHeight="false" outlineLevel="0" collapsed="false">
      <c r="A491" s="69"/>
      <c r="B491" s="70"/>
      <c r="C491" s="71"/>
      <c r="D491" s="71"/>
    </row>
    <row r="492" customFormat="false" ht="15.75" hidden="false" customHeight="false" outlineLevel="0" collapsed="false">
      <c r="A492" s="69"/>
      <c r="B492" s="70"/>
      <c r="C492" s="71"/>
      <c r="D492" s="71"/>
    </row>
    <row r="493" customFormat="false" ht="15.75" hidden="false" customHeight="false" outlineLevel="0" collapsed="false">
      <c r="A493" s="69"/>
      <c r="B493" s="70"/>
      <c r="C493" s="71"/>
      <c r="D493" s="71"/>
    </row>
    <row r="494" customFormat="false" ht="15.75" hidden="false" customHeight="false" outlineLevel="0" collapsed="false">
      <c r="A494" s="69"/>
      <c r="B494" s="70"/>
      <c r="C494" s="71"/>
      <c r="D494" s="71"/>
    </row>
    <row r="495" customFormat="false" ht="15.75" hidden="false" customHeight="false" outlineLevel="0" collapsed="false">
      <c r="A495" s="69"/>
      <c r="B495" s="70"/>
      <c r="C495" s="71"/>
      <c r="D495" s="71"/>
    </row>
    <row r="496" customFormat="false" ht="15.75" hidden="false" customHeight="false" outlineLevel="0" collapsed="false">
      <c r="A496" s="69"/>
      <c r="B496" s="70"/>
      <c r="C496" s="71"/>
      <c r="D496" s="71"/>
    </row>
    <row r="497" customFormat="false" ht="15.75" hidden="false" customHeight="false" outlineLevel="0" collapsed="false">
      <c r="A497" s="69"/>
      <c r="B497" s="70"/>
      <c r="C497" s="71"/>
      <c r="D497" s="71"/>
    </row>
    <row r="498" customFormat="false" ht="15.75" hidden="false" customHeight="false" outlineLevel="0" collapsed="false">
      <c r="A498" s="69"/>
      <c r="B498" s="70"/>
      <c r="C498" s="71"/>
      <c r="D498" s="71"/>
    </row>
    <row r="499" customFormat="false" ht="15.75" hidden="false" customHeight="false" outlineLevel="0" collapsed="false">
      <c r="A499" s="69"/>
      <c r="B499" s="70"/>
      <c r="C499" s="71"/>
      <c r="D499" s="71"/>
    </row>
    <row r="500" customFormat="false" ht="15.75" hidden="false" customHeight="false" outlineLevel="0" collapsed="false">
      <c r="A500" s="69"/>
      <c r="B500" s="70"/>
      <c r="C500" s="71"/>
      <c r="D500" s="71"/>
    </row>
    <row r="501" customFormat="false" ht="15.75" hidden="false" customHeight="false" outlineLevel="0" collapsed="false">
      <c r="A501" s="69"/>
      <c r="B501" s="70"/>
      <c r="C501" s="71"/>
      <c r="D501" s="71"/>
    </row>
    <row r="502" customFormat="false" ht="15.75" hidden="false" customHeight="false" outlineLevel="0" collapsed="false">
      <c r="A502" s="69"/>
      <c r="B502" s="70"/>
      <c r="C502" s="71"/>
      <c r="D502" s="71"/>
    </row>
    <row r="503" customFormat="false" ht="15.75" hidden="false" customHeight="false" outlineLevel="0" collapsed="false">
      <c r="A503" s="69"/>
      <c r="B503" s="70"/>
      <c r="C503" s="71"/>
      <c r="D503" s="71"/>
    </row>
    <row r="504" customFormat="false" ht="15.75" hidden="false" customHeight="false" outlineLevel="0" collapsed="false">
      <c r="A504" s="69"/>
      <c r="B504" s="70"/>
      <c r="C504" s="71"/>
      <c r="D504" s="71"/>
    </row>
    <row r="505" customFormat="false" ht="15.75" hidden="false" customHeight="false" outlineLevel="0" collapsed="false">
      <c r="A505" s="69"/>
      <c r="B505" s="70"/>
      <c r="C505" s="71"/>
      <c r="D505" s="71"/>
    </row>
    <row r="506" customFormat="false" ht="15.75" hidden="false" customHeight="false" outlineLevel="0" collapsed="false">
      <c r="A506" s="69"/>
      <c r="B506" s="70"/>
      <c r="C506" s="71"/>
      <c r="D506" s="71"/>
    </row>
    <row r="507" customFormat="false" ht="15.75" hidden="false" customHeight="false" outlineLevel="0" collapsed="false">
      <c r="A507" s="69"/>
      <c r="B507" s="70"/>
      <c r="C507" s="71"/>
      <c r="D507" s="71"/>
    </row>
    <row r="508" customFormat="false" ht="15.75" hidden="false" customHeight="false" outlineLevel="0" collapsed="false">
      <c r="A508" s="69"/>
      <c r="B508" s="70"/>
      <c r="C508" s="71"/>
      <c r="D508" s="71"/>
    </row>
    <row r="509" customFormat="false" ht="15.75" hidden="false" customHeight="false" outlineLevel="0" collapsed="false">
      <c r="A509" s="69"/>
      <c r="B509" s="70"/>
      <c r="C509" s="71"/>
      <c r="D509" s="71"/>
    </row>
    <row r="510" customFormat="false" ht="15.75" hidden="false" customHeight="false" outlineLevel="0" collapsed="false">
      <c r="A510" s="69"/>
      <c r="B510" s="70"/>
      <c r="C510" s="71"/>
      <c r="D510" s="71"/>
    </row>
    <row r="511" customFormat="false" ht="15.75" hidden="false" customHeight="false" outlineLevel="0" collapsed="false">
      <c r="A511" s="69"/>
      <c r="B511" s="70"/>
      <c r="C511" s="71"/>
      <c r="D511" s="71"/>
    </row>
    <row r="512" customFormat="false" ht="15.75" hidden="false" customHeight="false" outlineLevel="0" collapsed="false">
      <c r="A512" s="69"/>
      <c r="B512" s="70"/>
      <c r="C512" s="71"/>
      <c r="D512" s="71"/>
    </row>
    <row r="513" customFormat="false" ht="15.75" hidden="false" customHeight="false" outlineLevel="0" collapsed="false">
      <c r="A513" s="69"/>
      <c r="B513" s="70"/>
      <c r="C513" s="71"/>
      <c r="D513" s="71"/>
    </row>
    <row r="514" customFormat="false" ht="15.75" hidden="false" customHeight="false" outlineLevel="0" collapsed="false">
      <c r="A514" s="69"/>
      <c r="B514" s="70"/>
      <c r="C514" s="71"/>
      <c r="D514" s="71"/>
    </row>
    <row r="515" customFormat="false" ht="15.75" hidden="false" customHeight="false" outlineLevel="0" collapsed="false">
      <c r="A515" s="69"/>
      <c r="B515" s="70"/>
      <c r="C515" s="71"/>
      <c r="D515" s="71"/>
    </row>
    <row r="516" customFormat="false" ht="15.75" hidden="false" customHeight="false" outlineLevel="0" collapsed="false">
      <c r="A516" s="69"/>
      <c r="B516" s="70"/>
      <c r="C516" s="71"/>
      <c r="D516" s="71"/>
    </row>
    <row r="517" customFormat="false" ht="15.75" hidden="false" customHeight="false" outlineLevel="0" collapsed="false">
      <c r="A517" s="69"/>
      <c r="B517" s="70"/>
      <c r="C517" s="71"/>
      <c r="D517" s="71"/>
    </row>
    <row r="518" customFormat="false" ht="15.75" hidden="false" customHeight="false" outlineLevel="0" collapsed="false">
      <c r="A518" s="69"/>
      <c r="B518" s="70"/>
      <c r="C518" s="71"/>
      <c r="D518" s="71"/>
    </row>
    <row r="519" customFormat="false" ht="15.75" hidden="false" customHeight="false" outlineLevel="0" collapsed="false">
      <c r="A519" s="69"/>
      <c r="B519" s="70"/>
      <c r="C519" s="71"/>
      <c r="D519" s="71"/>
    </row>
    <row r="520" customFormat="false" ht="15.75" hidden="false" customHeight="false" outlineLevel="0" collapsed="false">
      <c r="A520" s="69"/>
      <c r="B520" s="70"/>
      <c r="C520" s="71"/>
      <c r="D520" s="71"/>
    </row>
    <row r="521" customFormat="false" ht="15.75" hidden="false" customHeight="false" outlineLevel="0" collapsed="false">
      <c r="A521" s="69"/>
      <c r="B521" s="70"/>
      <c r="C521" s="71"/>
      <c r="D521" s="71"/>
    </row>
    <row r="522" customFormat="false" ht="15.75" hidden="false" customHeight="false" outlineLevel="0" collapsed="false">
      <c r="A522" s="69"/>
      <c r="B522" s="70"/>
      <c r="C522" s="71"/>
      <c r="D522" s="71"/>
    </row>
    <row r="523" customFormat="false" ht="15.75" hidden="false" customHeight="false" outlineLevel="0" collapsed="false">
      <c r="A523" s="69"/>
      <c r="B523" s="70"/>
      <c r="C523" s="71"/>
      <c r="D523" s="71"/>
    </row>
    <row r="524" customFormat="false" ht="15.75" hidden="false" customHeight="false" outlineLevel="0" collapsed="false">
      <c r="A524" s="69"/>
      <c r="B524" s="70"/>
      <c r="C524" s="71"/>
      <c r="D524" s="71"/>
    </row>
    <row r="525" customFormat="false" ht="15.75" hidden="false" customHeight="false" outlineLevel="0" collapsed="false">
      <c r="A525" s="69"/>
      <c r="B525" s="70"/>
      <c r="C525" s="71"/>
      <c r="D525" s="71"/>
    </row>
    <row r="526" customFormat="false" ht="15.75" hidden="false" customHeight="false" outlineLevel="0" collapsed="false">
      <c r="A526" s="69"/>
      <c r="B526" s="70"/>
      <c r="C526" s="71"/>
      <c r="D526" s="71"/>
    </row>
    <row r="527" customFormat="false" ht="15.75" hidden="false" customHeight="false" outlineLevel="0" collapsed="false">
      <c r="A527" s="69"/>
      <c r="B527" s="70"/>
      <c r="C527" s="71"/>
      <c r="D527" s="71"/>
    </row>
    <row r="528" customFormat="false" ht="15.75" hidden="false" customHeight="false" outlineLevel="0" collapsed="false">
      <c r="A528" s="69"/>
      <c r="B528" s="70"/>
      <c r="C528" s="71"/>
      <c r="D528" s="71"/>
    </row>
    <row r="529" customFormat="false" ht="15.75" hidden="false" customHeight="false" outlineLevel="0" collapsed="false">
      <c r="A529" s="69"/>
      <c r="B529" s="70"/>
      <c r="C529" s="71"/>
      <c r="D529" s="71"/>
    </row>
    <row r="530" customFormat="false" ht="15.75" hidden="false" customHeight="false" outlineLevel="0" collapsed="false">
      <c r="A530" s="69"/>
      <c r="B530" s="70"/>
      <c r="C530" s="71"/>
      <c r="D530" s="71"/>
    </row>
    <row r="531" customFormat="false" ht="15.75" hidden="false" customHeight="false" outlineLevel="0" collapsed="false">
      <c r="A531" s="69"/>
      <c r="B531" s="70"/>
      <c r="C531" s="71"/>
      <c r="D531" s="71"/>
    </row>
    <row r="532" customFormat="false" ht="15.75" hidden="false" customHeight="false" outlineLevel="0" collapsed="false">
      <c r="A532" s="69"/>
      <c r="B532" s="70"/>
      <c r="C532" s="71"/>
      <c r="D532" s="71"/>
    </row>
    <row r="533" customFormat="false" ht="15.75" hidden="false" customHeight="false" outlineLevel="0" collapsed="false">
      <c r="A533" s="69"/>
      <c r="B533" s="70"/>
      <c r="C533" s="71"/>
      <c r="D533" s="71"/>
    </row>
    <row r="534" customFormat="false" ht="15.75" hidden="false" customHeight="false" outlineLevel="0" collapsed="false">
      <c r="A534" s="69"/>
      <c r="B534" s="70"/>
      <c r="C534" s="71"/>
      <c r="D534" s="71"/>
    </row>
    <row r="535" customFormat="false" ht="15.75" hidden="false" customHeight="false" outlineLevel="0" collapsed="false">
      <c r="A535" s="69"/>
      <c r="B535" s="70"/>
      <c r="C535" s="71"/>
      <c r="D535" s="71"/>
    </row>
    <row r="536" customFormat="false" ht="15.75" hidden="false" customHeight="false" outlineLevel="0" collapsed="false">
      <c r="A536" s="69"/>
      <c r="B536" s="70"/>
      <c r="C536" s="71"/>
      <c r="D536" s="71"/>
    </row>
    <row r="537" customFormat="false" ht="15.75" hidden="false" customHeight="false" outlineLevel="0" collapsed="false">
      <c r="A537" s="69"/>
      <c r="B537" s="70"/>
      <c r="C537" s="71"/>
      <c r="D537" s="71"/>
    </row>
    <row r="538" customFormat="false" ht="15.75" hidden="false" customHeight="false" outlineLevel="0" collapsed="false">
      <c r="A538" s="69"/>
      <c r="B538" s="70"/>
      <c r="C538" s="71"/>
      <c r="D538" s="71"/>
    </row>
    <row r="539" customFormat="false" ht="15.75" hidden="false" customHeight="false" outlineLevel="0" collapsed="false">
      <c r="A539" s="69"/>
      <c r="B539" s="70"/>
      <c r="C539" s="71"/>
      <c r="D539" s="71"/>
    </row>
    <row r="540" customFormat="false" ht="15.75" hidden="false" customHeight="false" outlineLevel="0" collapsed="false">
      <c r="A540" s="69"/>
      <c r="B540" s="70"/>
      <c r="C540" s="71"/>
      <c r="D540" s="71"/>
    </row>
    <row r="541" customFormat="false" ht="15.75" hidden="false" customHeight="false" outlineLevel="0" collapsed="false">
      <c r="A541" s="69"/>
      <c r="B541" s="70"/>
      <c r="C541" s="71"/>
      <c r="D541" s="71"/>
    </row>
    <row r="542" customFormat="false" ht="15.75" hidden="false" customHeight="false" outlineLevel="0" collapsed="false">
      <c r="A542" s="69"/>
      <c r="B542" s="70"/>
      <c r="C542" s="71"/>
      <c r="D542" s="71"/>
    </row>
    <row r="543" customFormat="false" ht="15.75" hidden="false" customHeight="false" outlineLevel="0" collapsed="false">
      <c r="A543" s="69"/>
      <c r="B543" s="70"/>
      <c r="C543" s="71"/>
      <c r="D543" s="71"/>
    </row>
    <row r="544" customFormat="false" ht="15.75" hidden="false" customHeight="false" outlineLevel="0" collapsed="false">
      <c r="A544" s="69"/>
      <c r="B544" s="70"/>
      <c r="C544" s="71"/>
      <c r="D544" s="71"/>
    </row>
    <row r="545" customFormat="false" ht="15.75" hidden="false" customHeight="false" outlineLevel="0" collapsed="false">
      <c r="A545" s="69"/>
      <c r="B545" s="70"/>
      <c r="C545" s="71"/>
      <c r="D545" s="71"/>
    </row>
    <row r="546" customFormat="false" ht="15.75" hidden="false" customHeight="false" outlineLevel="0" collapsed="false">
      <c r="A546" s="69"/>
      <c r="B546" s="70"/>
      <c r="C546" s="71"/>
      <c r="D546" s="71"/>
    </row>
    <row r="547" customFormat="false" ht="15.75" hidden="false" customHeight="false" outlineLevel="0" collapsed="false">
      <c r="A547" s="69"/>
      <c r="B547" s="70"/>
      <c r="C547" s="71"/>
      <c r="D547" s="71"/>
    </row>
    <row r="548" customFormat="false" ht="15.75" hidden="false" customHeight="false" outlineLevel="0" collapsed="false">
      <c r="A548" s="69"/>
      <c r="B548" s="70"/>
      <c r="C548" s="71"/>
      <c r="D548" s="71"/>
    </row>
    <row r="549" customFormat="false" ht="15.75" hidden="false" customHeight="false" outlineLevel="0" collapsed="false">
      <c r="A549" s="69"/>
      <c r="B549" s="70"/>
      <c r="C549" s="71"/>
      <c r="D549" s="71"/>
    </row>
    <row r="550" customFormat="false" ht="15.75" hidden="false" customHeight="false" outlineLevel="0" collapsed="false">
      <c r="A550" s="69"/>
      <c r="B550" s="70"/>
      <c r="C550" s="71"/>
      <c r="D550" s="71"/>
    </row>
    <row r="551" customFormat="false" ht="15.75" hidden="false" customHeight="false" outlineLevel="0" collapsed="false">
      <c r="A551" s="69"/>
      <c r="B551" s="70"/>
      <c r="C551" s="71"/>
      <c r="D551" s="71"/>
    </row>
    <row r="552" customFormat="false" ht="15.75" hidden="false" customHeight="false" outlineLevel="0" collapsed="false">
      <c r="A552" s="69"/>
      <c r="B552" s="70"/>
      <c r="C552" s="71"/>
      <c r="D552" s="71"/>
    </row>
    <row r="553" customFormat="false" ht="15.75" hidden="false" customHeight="false" outlineLevel="0" collapsed="false">
      <c r="A553" s="69"/>
      <c r="B553" s="70"/>
      <c r="C553" s="71"/>
      <c r="D553" s="71"/>
    </row>
    <row r="554" customFormat="false" ht="15.75" hidden="false" customHeight="false" outlineLevel="0" collapsed="false">
      <c r="A554" s="69"/>
      <c r="B554" s="70"/>
      <c r="C554" s="71"/>
      <c r="D554" s="71"/>
    </row>
    <row r="555" customFormat="false" ht="15.75" hidden="false" customHeight="false" outlineLevel="0" collapsed="false">
      <c r="A555" s="69"/>
      <c r="B555" s="70"/>
      <c r="C555" s="71"/>
      <c r="D555" s="71"/>
    </row>
    <row r="556" customFormat="false" ht="15.75" hidden="false" customHeight="false" outlineLevel="0" collapsed="false">
      <c r="A556" s="69"/>
      <c r="B556" s="70"/>
      <c r="C556" s="71"/>
      <c r="D556" s="71"/>
    </row>
    <row r="557" customFormat="false" ht="15.75" hidden="false" customHeight="false" outlineLevel="0" collapsed="false">
      <c r="A557" s="69"/>
      <c r="B557" s="70"/>
      <c r="C557" s="71"/>
      <c r="D557" s="71"/>
    </row>
    <row r="558" customFormat="false" ht="15.75" hidden="false" customHeight="false" outlineLevel="0" collapsed="false">
      <c r="A558" s="69"/>
      <c r="B558" s="70"/>
      <c r="C558" s="71"/>
      <c r="D558" s="71"/>
    </row>
    <row r="559" customFormat="false" ht="15.75" hidden="false" customHeight="false" outlineLevel="0" collapsed="false">
      <c r="A559" s="69"/>
      <c r="B559" s="70"/>
      <c r="C559" s="71"/>
      <c r="D559" s="71"/>
    </row>
    <row r="560" customFormat="false" ht="15.75" hidden="false" customHeight="false" outlineLevel="0" collapsed="false">
      <c r="A560" s="69"/>
      <c r="B560" s="70"/>
      <c r="C560" s="71"/>
      <c r="D560" s="71"/>
    </row>
    <row r="561" customFormat="false" ht="15.75" hidden="false" customHeight="false" outlineLevel="0" collapsed="false">
      <c r="A561" s="69"/>
      <c r="B561" s="70"/>
      <c r="C561" s="71"/>
      <c r="D561" s="71"/>
    </row>
    <row r="562" customFormat="false" ht="15.75" hidden="false" customHeight="false" outlineLevel="0" collapsed="false">
      <c r="A562" s="69"/>
      <c r="B562" s="70"/>
      <c r="C562" s="71"/>
      <c r="D562" s="71"/>
    </row>
    <row r="563" customFormat="false" ht="15.75" hidden="false" customHeight="false" outlineLevel="0" collapsed="false">
      <c r="A563" s="69"/>
      <c r="B563" s="70"/>
      <c r="C563" s="71"/>
      <c r="D563" s="71"/>
    </row>
    <row r="564" customFormat="false" ht="15.75" hidden="false" customHeight="false" outlineLevel="0" collapsed="false">
      <c r="A564" s="69"/>
      <c r="B564" s="70"/>
      <c r="C564" s="71"/>
      <c r="D564" s="71"/>
    </row>
    <row r="565" customFormat="false" ht="15.75" hidden="false" customHeight="false" outlineLevel="0" collapsed="false">
      <c r="A565" s="69"/>
      <c r="B565" s="70"/>
      <c r="C565" s="71"/>
      <c r="D565" s="71"/>
    </row>
    <row r="566" customFormat="false" ht="15.75" hidden="false" customHeight="false" outlineLevel="0" collapsed="false">
      <c r="A566" s="69"/>
      <c r="B566" s="70"/>
      <c r="C566" s="71"/>
      <c r="D566" s="71"/>
    </row>
    <row r="567" customFormat="false" ht="15.75" hidden="false" customHeight="false" outlineLevel="0" collapsed="false">
      <c r="A567" s="69"/>
      <c r="B567" s="70"/>
      <c r="C567" s="71"/>
      <c r="D567" s="71"/>
    </row>
    <row r="568" customFormat="false" ht="15.75" hidden="false" customHeight="false" outlineLevel="0" collapsed="false">
      <c r="A568" s="69"/>
      <c r="B568" s="70"/>
      <c r="C568" s="71"/>
      <c r="D568" s="71"/>
    </row>
    <row r="569" customFormat="false" ht="15.75" hidden="false" customHeight="false" outlineLevel="0" collapsed="false">
      <c r="A569" s="69"/>
      <c r="B569" s="70"/>
      <c r="C569" s="71"/>
      <c r="D569" s="71"/>
    </row>
    <row r="570" customFormat="false" ht="15.75" hidden="false" customHeight="false" outlineLevel="0" collapsed="false">
      <c r="A570" s="69"/>
      <c r="B570" s="70"/>
      <c r="C570" s="71"/>
      <c r="D570" s="71"/>
    </row>
    <row r="571" customFormat="false" ht="15.75" hidden="false" customHeight="false" outlineLevel="0" collapsed="false">
      <c r="A571" s="69"/>
      <c r="B571" s="70"/>
      <c r="C571" s="71"/>
      <c r="D571" s="71"/>
    </row>
    <row r="572" customFormat="false" ht="15.75" hidden="false" customHeight="false" outlineLevel="0" collapsed="false">
      <c r="A572" s="69"/>
      <c r="B572" s="70"/>
      <c r="C572" s="71"/>
      <c r="D572" s="71"/>
    </row>
    <row r="573" customFormat="false" ht="15.75" hidden="false" customHeight="false" outlineLevel="0" collapsed="false">
      <c r="A573" s="69"/>
      <c r="B573" s="70"/>
      <c r="C573" s="71"/>
      <c r="D573" s="71"/>
    </row>
    <row r="574" customFormat="false" ht="15.75" hidden="false" customHeight="false" outlineLevel="0" collapsed="false">
      <c r="A574" s="69"/>
      <c r="B574" s="70"/>
      <c r="C574" s="71"/>
      <c r="D574" s="71"/>
    </row>
    <row r="575" customFormat="false" ht="15.75" hidden="false" customHeight="false" outlineLevel="0" collapsed="false">
      <c r="A575" s="69"/>
      <c r="B575" s="70"/>
      <c r="C575" s="71"/>
      <c r="D575" s="71"/>
    </row>
    <row r="576" customFormat="false" ht="15.75" hidden="false" customHeight="false" outlineLevel="0" collapsed="false">
      <c r="A576" s="69"/>
      <c r="B576" s="70"/>
      <c r="C576" s="71"/>
      <c r="D576" s="71"/>
    </row>
    <row r="577" customFormat="false" ht="15.75" hidden="false" customHeight="false" outlineLevel="0" collapsed="false">
      <c r="A577" s="69"/>
      <c r="B577" s="70"/>
      <c r="C577" s="71"/>
      <c r="D577" s="71"/>
    </row>
    <row r="578" customFormat="false" ht="15.75" hidden="false" customHeight="false" outlineLevel="0" collapsed="false">
      <c r="A578" s="69"/>
      <c r="B578" s="70"/>
      <c r="C578" s="71"/>
      <c r="D578" s="71"/>
    </row>
    <row r="579" customFormat="false" ht="15.75" hidden="false" customHeight="false" outlineLevel="0" collapsed="false">
      <c r="A579" s="69"/>
      <c r="B579" s="70"/>
      <c r="C579" s="71"/>
      <c r="D579" s="71"/>
    </row>
    <row r="580" customFormat="false" ht="15.75" hidden="false" customHeight="false" outlineLevel="0" collapsed="false">
      <c r="A580" s="69"/>
      <c r="B580" s="70"/>
      <c r="C580" s="71"/>
      <c r="D580" s="71"/>
    </row>
    <row r="581" customFormat="false" ht="15.75" hidden="false" customHeight="false" outlineLevel="0" collapsed="false">
      <c r="A581" s="69"/>
      <c r="B581" s="70"/>
      <c r="C581" s="71"/>
      <c r="D581" s="71"/>
    </row>
    <row r="582" customFormat="false" ht="15.75" hidden="false" customHeight="false" outlineLevel="0" collapsed="false">
      <c r="A582" s="69"/>
      <c r="B582" s="70"/>
      <c r="C582" s="71"/>
      <c r="D582" s="71"/>
    </row>
    <row r="583" customFormat="false" ht="15.75" hidden="false" customHeight="false" outlineLevel="0" collapsed="false">
      <c r="A583" s="69"/>
      <c r="B583" s="70"/>
      <c r="C583" s="71"/>
      <c r="D583" s="71"/>
    </row>
    <row r="584" customFormat="false" ht="15.75" hidden="false" customHeight="false" outlineLevel="0" collapsed="false">
      <c r="A584" s="69"/>
      <c r="B584" s="70"/>
      <c r="C584" s="71"/>
      <c r="D584" s="71"/>
    </row>
    <row r="585" customFormat="false" ht="15.75" hidden="false" customHeight="false" outlineLevel="0" collapsed="false">
      <c r="A585" s="69"/>
      <c r="B585" s="70"/>
      <c r="C585" s="71"/>
      <c r="D585" s="71"/>
    </row>
    <row r="586" customFormat="false" ht="15.75" hidden="false" customHeight="false" outlineLevel="0" collapsed="false">
      <c r="A586" s="69"/>
      <c r="B586" s="70"/>
      <c r="C586" s="71"/>
      <c r="D586" s="71"/>
    </row>
    <row r="587" customFormat="false" ht="15.75" hidden="false" customHeight="false" outlineLevel="0" collapsed="false">
      <c r="A587" s="69"/>
      <c r="B587" s="70"/>
      <c r="C587" s="71"/>
      <c r="D587" s="71"/>
    </row>
    <row r="588" customFormat="false" ht="15.75" hidden="false" customHeight="false" outlineLevel="0" collapsed="false">
      <c r="A588" s="69"/>
      <c r="B588" s="70"/>
      <c r="C588" s="71"/>
      <c r="D588" s="71"/>
    </row>
    <row r="589" customFormat="false" ht="15.75" hidden="false" customHeight="false" outlineLevel="0" collapsed="false">
      <c r="A589" s="69"/>
      <c r="B589" s="70"/>
      <c r="C589" s="71"/>
      <c r="D589" s="71"/>
    </row>
    <row r="590" customFormat="false" ht="15.75" hidden="false" customHeight="false" outlineLevel="0" collapsed="false">
      <c r="A590" s="69"/>
      <c r="B590" s="70"/>
      <c r="C590" s="71"/>
      <c r="D590" s="71"/>
    </row>
    <row r="591" customFormat="false" ht="15.75" hidden="false" customHeight="false" outlineLevel="0" collapsed="false">
      <c r="A591" s="69"/>
      <c r="B591" s="70"/>
      <c r="C591" s="71"/>
      <c r="D591" s="71"/>
    </row>
    <row r="592" customFormat="false" ht="15.75" hidden="false" customHeight="false" outlineLevel="0" collapsed="false">
      <c r="A592" s="69"/>
      <c r="B592" s="70"/>
      <c r="C592" s="71"/>
      <c r="D592" s="71"/>
    </row>
    <row r="593" customFormat="false" ht="15.75" hidden="false" customHeight="false" outlineLevel="0" collapsed="false">
      <c r="A593" s="69"/>
      <c r="B593" s="70"/>
      <c r="C593" s="71"/>
      <c r="D593" s="71"/>
    </row>
    <row r="594" customFormat="false" ht="15.75" hidden="false" customHeight="false" outlineLevel="0" collapsed="false">
      <c r="A594" s="69"/>
      <c r="B594" s="70"/>
      <c r="C594" s="71"/>
      <c r="D594" s="71"/>
    </row>
    <row r="595" customFormat="false" ht="15.75" hidden="false" customHeight="false" outlineLevel="0" collapsed="false">
      <c r="A595" s="69"/>
      <c r="B595" s="70"/>
      <c r="C595" s="71"/>
      <c r="D595" s="71"/>
    </row>
    <row r="596" customFormat="false" ht="15.75" hidden="false" customHeight="false" outlineLevel="0" collapsed="false">
      <c r="A596" s="69"/>
      <c r="B596" s="70"/>
      <c r="C596" s="71"/>
      <c r="D596" s="71"/>
    </row>
    <row r="597" customFormat="false" ht="15.75" hidden="false" customHeight="false" outlineLevel="0" collapsed="false">
      <c r="A597" s="69"/>
      <c r="B597" s="70"/>
      <c r="C597" s="71"/>
      <c r="D597" s="71"/>
    </row>
    <row r="598" customFormat="false" ht="15.75" hidden="false" customHeight="false" outlineLevel="0" collapsed="false">
      <c r="A598" s="69"/>
      <c r="B598" s="70"/>
      <c r="C598" s="71"/>
      <c r="D598" s="71"/>
    </row>
    <row r="599" customFormat="false" ht="15.75" hidden="false" customHeight="false" outlineLevel="0" collapsed="false">
      <c r="A599" s="69"/>
      <c r="B599" s="70"/>
      <c r="C599" s="71"/>
      <c r="D599" s="71"/>
    </row>
    <row r="600" customFormat="false" ht="15.75" hidden="false" customHeight="false" outlineLevel="0" collapsed="false">
      <c r="A600" s="69"/>
      <c r="B600" s="70"/>
      <c r="C600" s="71"/>
      <c r="D600" s="71"/>
    </row>
    <row r="601" customFormat="false" ht="15.75" hidden="false" customHeight="false" outlineLevel="0" collapsed="false">
      <c r="A601" s="69"/>
      <c r="B601" s="70"/>
      <c r="C601" s="71"/>
      <c r="D601" s="71"/>
    </row>
    <row r="602" customFormat="false" ht="15.75" hidden="false" customHeight="false" outlineLevel="0" collapsed="false">
      <c r="A602" s="69"/>
      <c r="B602" s="70"/>
      <c r="C602" s="71"/>
      <c r="D602" s="71"/>
    </row>
    <row r="603" customFormat="false" ht="15.75" hidden="false" customHeight="false" outlineLevel="0" collapsed="false">
      <c r="A603" s="69"/>
      <c r="B603" s="70"/>
      <c r="C603" s="71"/>
      <c r="D603" s="71"/>
    </row>
    <row r="604" customFormat="false" ht="15.75" hidden="false" customHeight="false" outlineLevel="0" collapsed="false">
      <c r="A604" s="69"/>
      <c r="B604" s="70"/>
      <c r="C604" s="71"/>
      <c r="D604" s="71"/>
    </row>
    <row r="605" customFormat="false" ht="15.75" hidden="false" customHeight="false" outlineLevel="0" collapsed="false">
      <c r="A605" s="69"/>
      <c r="B605" s="70"/>
      <c r="C605" s="71"/>
      <c r="D605" s="71"/>
    </row>
    <row r="606" customFormat="false" ht="15.75" hidden="false" customHeight="false" outlineLevel="0" collapsed="false">
      <c r="A606" s="69"/>
      <c r="B606" s="70"/>
      <c r="C606" s="71"/>
      <c r="D606" s="71"/>
    </row>
    <row r="607" customFormat="false" ht="15.75" hidden="false" customHeight="false" outlineLevel="0" collapsed="false">
      <c r="A607" s="69"/>
      <c r="B607" s="70"/>
      <c r="C607" s="71"/>
      <c r="D607" s="71"/>
    </row>
    <row r="608" customFormat="false" ht="15.75" hidden="false" customHeight="false" outlineLevel="0" collapsed="false">
      <c r="A608" s="69"/>
      <c r="B608" s="70"/>
      <c r="C608" s="71"/>
      <c r="D608" s="71"/>
    </row>
    <row r="609" customFormat="false" ht="15.75" hidden="false" customHeight="false" outlineLevel="0" collapsed="false">
      <c r="A609" s="69"/>
      <c r="B609" s="70"/>
      <c r="C609" s="71"/>
      <c r="D609" s="71"/>
    </row>
    <row r="610" customFormat="false" ht="15.75" hidden="false" customHeight="false" outlineLevel="0" collapsed="false">
      <c r="A610" s="69"/>
      <c r="B610" s="70"/>
      <c r="C610" s="71"/>
      <c r="D610" s="71"/>
    </row>
    <row r="611" customFormat="false" ht="15.75" hidden="false" customHeight="false" outlineLevel="0" collapsed="false">
      <c r="A611" s="69"/>
      <c r="B611" s="70"/>
      <c r="C611" s="71"/>
      <c r="D611" s="71"/>
    </row>
    <row r="612" customFormat="false" ht="15.75" hidden="false" customHeight="false" outlineLevel="0" collapsed="false">
      <c r="A612" s="69"/>
      <c r="B612" s="70"/>
      <c r="C612" s="71"/>
      <c r="D612" s="71"/>
    </row>
    <row r="613" customFormat="false" ht="15.75" hidden="false" customHeight="false" outlineLevel="0" collapsed="false">
      <c r="A613" s="69"/>
      <c r="B613" s="70"/>
      <c r="C613" s="71"/>
      <c r="D613" s="71"/>
    </row>
    <row r="614" customFormat="false" ht="15.75" hidden="false" customHeight="false" outlineLevel="0" collapsed="false">
      <c r="A614" s="69"/>
      <c r="B614" s="70"/>
      <c r="C614" s="71"/>
      <c r="D614" s="71"/>
    </row>
    <row r="615" customFormat="false" ht="15.75" hidden="false" customHeight="false" outlineLevel="0" collapsed="false">
      <c r="A615" s="69"/>
      <c r="B615" s="70"/>
      <c r="C615" s="71"/>
      <c r="D615" s="71"/>
    </row>
    <row r="616" customFormat="false" ht="15.75" hidden="false" customHeight="false" outlineLevel="0" collapsed="false">
      <c r="A616" s="69"/>
      <c r="B616" s="70"/>
      <c r="C616" s="71"/>
      <c r="D616" s="71"/>
    </row>
    <row r="617" customFormat="false" ht="15.75" hidden="false" customHeight="false" outlineLevel="0" collapsed="false">
      <c r="A617" s="69"/>
      <c r="B617" s="70"/>
      <c r="C617" s="71"/>
      <c r="D617" s="71"/>
    </row>
    <row r="618" customFormat="false" ht="15.75" hidden="false" customHeight="false" outlineLevel="0" collapsed="false">
      <c r="A618" s="69"/>
      <c r="B618" s="70"/>
      <c r="C618" s="71"/>
      <c r="D618" s="71"/>
    </row>
    <row r="619" customFormat="false" ht="15.75" hidden="false" customHeight="false" outlineLevel="0" collapsed="false">
      <c r="A619" s="69"/>
      <c r="B619" s="70"/>
      <c r="C619" s="71"/>
      <c r="D619" s="71"/>
    </row>
    <row r="620" customFormat="false" ht="15.75" hidden="false" customHeight="false" outlineLevel="0" collapsed="false">
      <c r="A620" s="69"/>
      <c r="B620" s="70"/>
      <c r="C620" s="71"/>
      <c r="D620" s="71"/>
    </row>
    <row r="621" customFormat="false" ht="15.75" hidden="false" customHeight="false" outlineLevel="0" collapsed="false">
      <c r="A621" s="69"/>
      <c r="B621" s="70"/>
      <c r="C621" s="71"/>
      <c r="D621" s="71"/>
    </row>
    <row r="622" customFormat="false" ht="15.75" hidden="false" customHeight="false" outlineLevel="0" collapsed="false">
      <c r="A622" s="69"/>
      <c r="B622" s="70"/>
      <c r="C622" s="71"/>
      <c r="D622" s="71"/>
    </row>
    <row r="623" customFormat="false" ht="15.75" hidden="false" customHeight="false" outlineLevel="0" collapsed="false">
      <c r="A623" s="69"/>
      <c r="B623" s="70"/>
      <c r="C623" s="71"/>
      <c r="D623" s="71"/>
    </row>
    <row r="624" customFormat="false" ht="15.75" hidden="false" customHeight="false" outlineLevel="0" collapsed="false">
      <c r="A624" s="69"/>
      <c r="B624" s="70"/>
      <c r="C624" s="71"/>
      <c r="D624" s="71"/>
    </row>
    <row r="625" customFormat="false" ht="15.75" hidden="false" customHeight="false" outlineLevel="0" collapsed="false">
      <c r="A625" s="69"/>
      <c r="B625" s="70"/>
      <c r="C625" s="71"/>
      <c r="D625" s="71"/>
    </row>
    <row r="626" customFormat="false" ht="15.75" hidden="false" customHeight="false" outlineLevel="0" collapsed="false">
      <c r="A626" s="69"/>
      <c r="B626" s="70"/>
      <c r="C626" s="71"/>
      <c r="D626" s="71"/>
    </row>
    <row r="627" customFormat="false" ht="15.75" hidden="false" customHeight="false" outlineLevel="0" collapsed="false">
      <c r="A627" s="69"/>
      <c r="B627" s="70"/>
      <c r="C627" s="71"/>
      <c r="D627" s="71"/>
    </row>
    <row r="628" customFormat="false" ht="15.75" hidden="false" customHeight="false" outlineLevel="0" collapsed="false">
      <c r="A628" s="69"/>
      <c r="B628" s="70"/>
      <c r="C628" s="71"/>
      <c r="D628" s="71"/>
    </row>
    <row r="629" customFormat="false" ht="15.75" hidden="false" customHeight="false" outlineLevel="0" collapsed="false">
      <c r="A629" s="69"/>
      <c r="B629" s="70"/>
      <c r="C629" s="71"/>
      <c r="D629" s="71"/>
    </row>
    <row r="630" customFormat="false" ht="15.75" hidden="false" customHeight="false" outlineLevel="0" collapsed="false">
      <c r="A630" s="69"/>
      <c r="B630" s="70"/>
      <c r="C630" s="71"/>
      <c r="D630" s="71"/>
    </row>
    <row r="631" customFormat="false" ht="15.75" hidden="false" customHeight="false" outlineLevel="0" collapsed="false">
      <c r="A631" s="69"/>
      <c r="B631" s="70"/>
      <c r="C631" s="71"/>
      <c r="D631" s="71"/>
    </row>
    <row r="632" customFormat="false" ht="15.75" hidden="false" customHeight="false" outlineLevel="0" collapsed="false">
      <c r="A632" s="69"/>
      <c r="B632" s="70"/>
      <c r="C632" s="71"/>
      <c r="D632" s="71"/>
    </row>
    <row r="633" customFormat="false" ht="15.75" hidden="false" customHeight="false" outlineLevel="0" collapsed="false">
      <c r="A633" s="69"/>
      <c r="B633" s="70"/>
      <c r="C633" s="71"/>
      <c r="D633" s="71"/>
    </row>
    <row r="634" customFormat="false" ht="15.75" hidden="false" customHeight="false" outlineLevel="0" collapsed="false">
      <c r="A634" s="69"/>
      <c r="B634" s="70"/>
      <c r="C634" s="71"/>
      <c r="D634" s="71"/>
    </row>
    <row r="635" customFormat="false" ht="15.75" hidden="false" customHeight="false" outlineLevel="0" collapsed="false">
      <c r="A635" s="69"/>
      <c r="B635" s="70"/>
      <c r="C635" s="71"/>
      <c r="D635" s="71"/>
    </row>
    <row r="636" customFormat="false" ht="15.75" hidden="false" customHeight="false" outlineLevel="0" collapsed="false">
      <c r="A636" s="69"/>
      <c r="B636" s="70"/>
      <c r="C636" s="71"/>
      <c r="D636" s="71"/>
    </row>
    <row r="637" customFormat="false" ht="15.75" hidden="false" customHeight="false" outlineLevel="0" collapsed="false">
      <c r="A637" s="69"/>
      <c r="B637" s="70"/>
      <c r="C637" s="71"/>
      <c r="D637" s="71"/>
    </row>
    <row r="638" customFormat="false" ht="15.75" hidden="false" customHeight="false" outlineLevel="0" collapsed="false">
      <c r="A638" s="69"/>
      <c r="B638" s="70"/>
      <c r="C638" s="71"/>
      <c r="D638" s="71"/>
    </row>
    <row r="639" customFormat="false" ht="15.75" hidden="false" customHeight="false" outlineLevel="0" collapsed="false">
      <c r="A639" s="69"/>
      <c r="B639" s="70"/>
      <c r="C639" s="71"/>
      <c r="D639" s="71"/>
    </row>
    <row r="640" customFormat="false" ht="15.75" hidden="false" customHeight="false" outlineLevel="0" collapsed="false">
      <c r="A640" s="69"/>
      <c r="B640" s="70"/>
      <c r="C640" s="71"/>
      <c r="D640" s="71"/>
    </row>
    <row r="641" customFormat="false" ht="15.75" hidden="false" customHeight="false" outlineLevel="0" collapsed="false">
      <c r="A641" s="69"/>
      <c r="B641" s="70"/>
      <c r="C641" s="71"/>
      <c r="D641" s="71"/>
    </row>
    <row r="642" customFormat="false" ht="15.75" hidden="false" customHeight="false" outlineLevel="0" collapsed="false">
      <c r="A642" s="69"/>
      <c r="B642" s="70"/>
      <c r="C642" s="71"/>
      <c r="D642" s="71"/>
    </row>
    <row r="643" customFormat="false" ht="15.75" hidden="false" customHeight="false" outlineLevel="0" collapsed="false">
      <c r="A643" s="69"/>
      <c r="B643" s="70"/>
      <c r="C643" s="71"/>
      <c r="D643" s="71"/>
    </row>
    <row r="644" customFormat="false" ht="15.75" hidden="false" customHeight="false" outlineLevel="0" collapsed="false">
      <c r="A644" s="69"/>
      <c r="B644" s="70"/>
      <c r="C644" s="71"/>
      <c r="D644" s="71"/>
    </row>
    <row r="645" customFormat="false" ht="15.75" hidden="false" customHeight="false" outlineLevel="0" collapsed="false">
      <c r="A645" s="69"/>
      <c r="B645" s="70"/>
      <c r="C645" s="71"/>
      <c r="D645" s="71"/>
    </row>
    <row r="646" customFormat="false" ht="15.75" hidden="false" customHeight="false" outlineLevel="0" collapsed="false">
      <c r="A646" s="69"/>
      <c r="B646" s="70"/>
      <c r="C646" s="71"/>
      <c r="D646" s="71"/>
    </row>
    <row r="647" customFormat="false" ht="15.75" hidden="false" customHeight="false" outlineLevel="0" collapsed="false">
      <c r="A647" s="69"/>
      <c r="B647" s="70"/>
      <c r="C647" s="71"/>
      <c r="D647" s="71"/>
    </row>
    <row r="648" customFormat="false" ht="15.75" hidden="false" customHeight="false" outlineLevel="0" collapsed="false">
      <c r="A648" s="69"/>
      <c r="B648" s="70"/>
      <c r="C648" s="71"/>
      <c r="D648" s="71"/>
    </row>
    <row r="649" customFormat="false" ht="15.75" hidden="false" customHeight="false" outlineLevel="0" collapsed="false">
      <c r="A649" s="69"/>
      <c r="B649" s="70"/>
      <c r="C649" s="71"/>
      <c r="D649" s="71"/>
    </row>
    <row r="650" customFormat="false" ht="15.75" hidden="false" customHeight="false" outlineLevel="0" collapsed="false">
      <c r="A650" s="69"/>
      <c r="B650" s="70"/>
      <c r="C650" s="71"/>
      <c r="D650" s="71"/>
    </row>
    <row r="651" customFormat="false" ht="15.75" hidden="false" customHeight="false" outlineLevel="0" collapsed="false">
      <c r="A651" s="69"/>
      <c r="B651" s="70"/>
      <c r="C651" s="71"/>
      <c r="D651" s="71"/>
    </row>
    <row r="652" customFormat="false" ht="15.75" hidden="false" customHeight="false" outlineLevel="0" collapsed="false">
      <c r="A652" s="69"/>
      <c r="B652" s="70"/>
      <c r="C652" s="71"/>
      <c r="D652" s="71"/>
    </row>
    <row r="653" customFormat="false" ht="15.75" hidden="false" customHeight="false" outlineLevel="0" collapsed="false">
      <c r="A653" s="69"/>
      <c r="B653" s="70"/>
      <c r="C653" s="71"/>
      <c r="D653" s="71"/>
    </row>
    <row r="654" customFormat="false" ht="15.75" hidden="false" customHeight="false" outlineLevel="0" collapsed="false">
      <c r="A654" s="69"/>
      <c r="B654" s="70"/>
      <c r="C654" s="71"/>
      <c r="D654" s="71"/>
    </row>
    <row r="655" customFormat="false" ht="15.75" hidden="false" customHeight="false" outlineLevel="0" collapsed="false">
      <c r="A655" s="69"/>
      <c r="B655" s="70"/>
      <c r="C655" s="71"/>
      <c r="D655" s="71"/>
    </row>
    <row r="656" customFormat="false" ht="15.75" hidden="false" customHeight="false" outlineLevel="0" collapsed="false">
      <c r="A656" s="69"/>
      <c r="B656" s="70"/>
      <c r="C656" s="71"/>
      <c r="D656" s="71"/>
    </row>
    <row r="657" customFormat="false" ht="15.75" hidden="false" customHeight="false" outlineLevel="0" collapsed="false">
      <c r="A657" s="69"/>
      <c r="B657" s="70"/>
      <c r="C657" s="71"/>
      <c r="D657" s="71"/>
    </row>
    <row r="658" customFormat="false" ht="15.75" hidden="false" customHeight="false" outlineLevel="0" collapsed="false">
      <c r="A658" s="69"/>
      <c r="B658" s="70"/>
      <c r="C658" s="71"/>
      <c r="D658" s="71"/>
    </row>
    <row r="659" customFormat="false" ht="15.75" hidden="false" customHeight="false" outlineLevel="0" collapsed="false">
      <c r="A659" s="69"/>
      <c r="B659" s="70"/>
      <c r="C659" s="71"/>
      <c r="D659" s="71"/>
    </row>
    <row r="660" customFormat="false" ht="15.75" hidden="false" customHeight="false" outlineLevel="0" collapsed="false">
      <c r="A660" s="69"/>
      <c r="B660" s="70"/>
      <c r="C660" s="71"/>
      <c r="D660" s="71"/>
    </row>
    <row r="661" customFormat="false" ht="15.75" hidden="false" customHeight="false" outlineLevel="0" collapsed="false">
      <c r="A661" s="69"/>
      <c r="B661" s="70"/>
      <c r="C661" s="71"/>
      <c r="D661" s="71"/>
    </row>
    <row r="662" customFormat="false" ht="15.75" hidden="false" customHeight="false" outlineLevel="0" collapsed="false">
      <c r="A662" s="69"/>
      <c r="B662" s="70"/>
      <c r="C662" s="71"/>
      <c r="D662" s="71"/>
    </row>
    <row r="663" customFormat="false" ht="15.75" hidden="false" customHeight="false" outlineLevel="0" collapsed="false">
      <c r="A663" s="69"/>
      <c r="B663" s="70"/>
      <c r="C663" s="71"/>
      <c r="D663" s="71"/>
    </row>
    <row r="664" customFormat="false" ht="15.75" hidden="false" customHeight="false" outlineLevel="0" collapsed="false">
      <c r="A664" s="69"/>
      <c r="B664" s="70"/>
      <c r="C664" s="71"/>
      <c r="D664" s="71"/>
    </row>
    <row r="665" customFormat="false" ht="15.75" hidden="false" customHeight="false" outlineLevel="0" collapsed="false">
      <c r="A665" s="69"/>
      <c r="B665" s="70"/>
      <c r="C665" s="71"/>
      <c r="D665" s="71"/>
    </row>
    <row r="666" customFormat="false" ht="15.75" hidden="false" customHeight="false" outlineLevel="0" collapsed="false">
      <c r="A666" s="69"/>
      <c r="B666" s="70"/>
      <c r="C666" s="71"/>
      <c r="D666" s="71"/>
    </row>
    <row r="667" customFormat="false" ht="15.75" hidden="false" customHeight="false" outlineLevel="0" collapsed="false">
      <c r="A667" s="69"/>
      <c r="B667" s="70"/>
      <c r="C667" s="71"/>
      <c r="D667" s="71"/>
    </row>
    <row r="668" customFormat="false" ht="15.75" hidden="false" customHeight="false" outlineLevel="0" collapsed="false">
      <c r="A668" s="69"/>
      <c r="B668" s="70"/>
      <c r="C668" s="71"/>
      <c r="D668" s="71"/>
    </row>
    <row r="669" customFormat="false" ht="15.75" hidden="false" customHeight="false" outlineLevel="0" collapsed="false">
      <c r="A669" s="69"/>
      <c r="B669" s="70"/>
      <c r="C669" s="71"/>
      <c r="D669" s="71"/>
    </row>
    <row r="670" customFormat="false" ht="15.75" hidden="false" customHeight="false" outlineLevel="0" collapsed="false">
      <c r="A670" s="69"/>
      <c r="B670" s="70"/>
      <c r="C670" s="71"/>
      <c r="D670" s="71"/>
    </row>
    <row r="671" customFormat="false" ht="15.75" hidden="false" customHeight="false" outlineLevel="0" collapsed="false">
      <c r="A671" s="69"/>
      <c r="B671" s="70"/>
      <c r="C671" s="71"/>
      <c r="D671" s="71"/>
    </row>
    <row r="672" customFormat="false" ht="15.75" hidden="false" customHeight="false" outlineLevel="0" collapsed="false">
      <c r="A672" s="69"/>
      <c r="B672" s="70"/>
      <c r="C672" s="71"/>
      <c r="D672" s="71"/>
    </row>
    <row r="673" customFormat="false" ht="15.75" hidden="false" customHeight="false" outlineLevel="0" collapsed="false">
      <c r="A673" s="69"/>
      <c r="B673" s="70"/>
      <c r="C673" s="71"/>
      <c r="D673" s="71"/>
    </row>
    <row r="674" customFormat="false" ht="15.75" hidden="false" customHeight="false" outlineLevel="0" collapsed="false">
      <c r="A674" s="69"/>
      <c r="B674" s="70"/>
      <c r="C674" s="71"/>
      <c r="D674" s="71"/>
    </row>
    <row r="675" customFormat="false" ht="15.75" hidden="false" customHeight="false" outlineLevel="0" collapsed="false">
      <c r="A675" s="69"/>
      <c r="B675" s="70"/>
      <c r="C675" s="71"/>
      <c r="D675" s="71"/>
    </row>
    <row r="676" customFormat="false" ht="15.75" hidden="false" customHeight="false" outlineLevel="0" collapsed="false">
      <c r="A676" s="69"/>
      <c r="B676" s="70"/>
      <c r="C676" s="71"/>
      <c r="D676" s="71"/>
    </row>
    <row r="677" customFormat="false" ht="15.75" hidden="false" customHeight="false" outlineLevel="0" collapsed="false">
      <c r="A677" s="69"/>
      <c r="B677" s="70"/>
      <c r="C677" s="71"/>
      <c r="D677" s="71"/>
    </row>
    <row r="678" customFormat="false" ht="15.75" hidden="false" customHeight="false" outlineLevel="0" collapsed="false">
      <c r="A678" s="69"/>
      <c r="B678" s="70"/>
      <c r="C678" s="71"/>
      <c r="D678" s="71"/>
    </row>
    <row r="679" customFormat="false" ht="15.75" hidden="false" customHeight="false" outlineLevel="0" collapsed="false">
      <c r="A679" s="69"/>
      <c r="B679" s="70"/>
      <c r="C679" s="71"/>
      <c r="D679" s="71"/>
    </row>
    <row r="680" customFormat="false" ht="15.75" hidden="false" customHeight="false" outlineLevel="0" collapsed="false">
      <c r="A680" s="69"/>
      <c r="B680" s="70"/>
      <c r="C680" s="71"/>
      <c r="D680" s="71"/>
    </row>
    <row r="681" customFormat="false" ht="15.75" hidden="false" customHeight="false" outlineLevel="0" collapsed="false">
      <c r="A681" s="69"/>
      <c r="B681" s="70"/>
      <c r="C681" s="71"/>
      <c r="D681" s="71"/>
    </row>
    <row r="682" customFormat="false" ht="15.75" hidden="false" customHeight="false" outlineLevel="0" collapsed="false">
      <c r="A682" s="69"/>
      <c r="B682" s="70"/>
      <c r="C682" s="71"/>
      <c r="D682" s="71"/>
    </row>
    <row r="683" customFormat="false" ht="15.75" hidden="false" customHeight="false" outlineLevel="0" collapsed="false">
      <c r="A683" s="69"/>
      <c r="B683" s="70"/>
      <c r="C683" s="71"/>
      <c r="D683" s="71"/>
    </row>
    <row r="684" customFormat="false" ht="15.75" hidden="false" customHeight="false" outlineLevel="0" collapsed="false">
      <c r="A684" s="69"/>
      <c r="B684" s="70"/>
      <c r="C684" s="71"/>
      <c r="D684" s="71"/>
    </row>
    <row r="685" customFormat="false" ht="15.75" hidden="false" customHeight="false" outlineLevel="0" collapsed="false">
      <c r="A685" s="69"/>
      <c r="B685" s="70"/>
      <c r="C685" s="71"/>
      <c r="D685" s="71"/>
    </row>
    <row r="686" customFormat="false" ht="15.75" hidden="false" customHeight="false" outlineLevel="0" collapsed="false">
      <c r="A686" s="69"/>
      <c r="B686" s="70"/>
      <c r="C686" s="71"/>
      <c r="D686" s="71"/>
    </row>
    <row r="687" customFormat="false" ht="15.75" hidden="false" customHeight="false" outlineLevel="0" collapsed="false">
      <c r="A687" s="69"/>
      <c r="B687" s="70"/>
      <c r="C687" s="71"/>
      <c r="D687" s="71"/>
    </row>
    <row r="688" customFormat="false" ht="15.75" hidden="false" customHeight="false" outlineLevel="0" collapsed="false">
      <c r="A688" s="69"/>
      <c r="B688" s="70"/>
      <c r="C688" s="71"/>
      <c r="D688" s="71"/>
    </row>
    <row r="689" customFormat="false" ht="15.75" hidden="false" customHeight="false" outlineLevel="0" collapsed="false">
      <c r="A689" s="69"/>
      <c r="B689" s="70"/>
      <c r="C689" s="71"/>
      <c r="D689" s="71"/>
    </row>
    <row r="690" customFormat="false" ht="15.75" hidden="false" customHeight="false" outlineLevel="0" collapsed="false">
      <c r="A690" s="69"/>
      <c r="B690" s="70"/>
      <c r="C690" s="71"/>
      <c r="D690" s="71"/>
    </row>
    <row r="691" customFormat="false" ht="15.75" hidden="false" customHeight="false" outlineLevel="0" collapsed="false">
      <c r="A691" s="69"/>
      <c r="B691" s="70"/>
      <c r="C691" s="71"/>
      <c r="D691" s="71"/>
    </row>
    <row r="692" customFormat="false" ht="15.75" hidden="false" customHeight="false" outlineLevel="0" collapsed="false">
      <c r="A692" s="69"/>
      <c r="B692" s="70"/>
      <c r="C692" s="71"/>
      <c r="D692" s="71"/>
    </row>
    <row r="693" customFormat="false" ht="15.75" hidden="false" customHeight="false" outlineLevel="0" collapsed="false">
      <c r="A693" s="69"/>
      <c r="B693" s="70"/>
      <c r="C693" s="71"/>
      <c r="D693" s="71"/>
    </row>
    <row r="694" customFormat="false" ht="15.75" hidden="false" customHeight="false" outlineLevel="0" collapsed="false">
      <c r="A694" s="69"/>
      <c r="B694" s="70"/>
      <c r="C694" s="71"/>
      <c r="D694" s="71"/>
    </row>
    <row r="695" customFormat="false" ht="15.75" hidden="false" customHeight="false" outlineLevel="0" collapsed="false">
      <c r="A695" s="69"/>
      <c r="B695" s="70"/>
      <c r="C695" s="71"/>
      <c r="D695" s="71"/>
    </row>
    <row r="696" customFormat="false" ht="15.75" hidden="false" customHeight="false" outlineLevel="0" collapsed="false">
      <c r="A696" s="69"/>
      <c r="B696" s="70"/>
      <c r="C696" s="71"/>
      <c r="D696" s="71"/>
    </row>
    <row r="697" customFormat="false" ht="15.75" hidden="false" customHeight="false" outlineLevel="0" collapsed="false">
      <c r="A697" s="69"/>
      <c r="B697" s="70"/>
      <c r="C697" s="71"/>
      <c r="D697" s="71"/>
    </row>
    <row r="698" customFormat="false" ht="15.75" hidden="false" customHeight="false" outlineLevel="0" collapsed="false">
      <c r="A698" s="69"/>
      <c r="B698" s="70"/>
      <c r="C698" s="71"/>
      <c r="D698" s="71"/>
    </row>
    <row r="699" customFormat="false" ht="15.75" hidden="false" customHeight="false" outlineLevel="0" collapsed="false">
      <c r="A699" s="69"/>
      <c r="B699" s="70"/>
      <c r="C699" s="71"/>
      <c r="D699" s="71"/>
    </row>
    <row r="700" customFormat="false" ht="15.75" hidden="false" customHeight="false" outlineLevel="0" collapsed="false">
      <c r="A700" s="69"/>
      <c r="B700" s="70"/>
      <c r="C700" s="71"/>
      <c r="D700" s="71"/>
    </row>
    <row r="701" customFormat="false" ht="15.75" hidden="false" customHeight="false" outlineLevel="0" collapsed="false">
      <c r="A701" s="69"/>
      <c r="B701" s="70"/>
      <c r="C701" s="71"/>
      <c r="D701" s="71"/>
    </row>
    <row r="702" customFormat="false" ht="15.75" hidden="false" customHeight="false" outlineLevel="0" collapsed="false">
      <c r="A702" s="69"/>
      <c r="B702" s="70"/>
      <c r="C702" s="71"/>
      <c r="D702" s="71"/>
    </row>
    <row r="703" customFormat="false" ht="15.75" hidden="false" customHeight="false" outlineLevel="0" collapsed="false">
      <c r="A703" s="69"/>
      <c r="B703" s="70"/>
      <c r="C703" s="71"/>
      <c r="D703" s="71"/>
    </row>
    <row r="704" customFormat="false" ht="15.75" hidden="false" customHeight="false" outlineLevel="0" collapsed="false">
      <c r="A704" s="69"/>
      <c r="B704" s="70"/>
      <c r="C704" s="71"/>
      <c r="D704" s="71"/>
    </row>
    <row r="705" customFormat="false" ht="15.75" hidden="false" customHeight="false" outlineLevel="0" collapsed="false">
      <c r="A705" s="69"/>
      <c r="B705" s="70"/>
      <c r="C705" s="71"/>
      <c r="D705" s="71"/>
    </row>
    <row r="706" customFormat="false" ht="15.75" hidden="false" customHeight="false" outlineLevel="0" collapsed="false">
      <c r="A706" s="69"/>
      <c r="B706" s="70"/>
      <c r="C706" s="71"/>
      <c r="D706" s="71"/>
    </row>
    <row r="707" customFormat="false" ht="15.75" hidden="false" customHeight="false" outlineLevel="0" collapsed="false">
      <c r="A707" s="69"/>
      <c r="B707" s="70"/>
      <c r="C707" s="71"/>
      <c r="D707" s="71"/>
    </row>
    <row r="708" customFormat="false" ht="15.75" hidden="false" customHeight="false" outlineLevel="0" collapsed="false">
      <c r="A708" s="69"/>
      <c r="B708" s="70"/>
      <c r="C708" s="71"/>
      <c r="D708" s="71"/>
    </row>
    <row r="709" customFormat="false" ht="15.75" hidden="false" customHeight="false" outlineLevel="0" collapsed="false">
      <c r="A709" s="69"/>
      <c r="B709" s="70"/>
      <c r="C709" s="71"/>
      <c r="D709" s="71"/>
    </row>
    <row r="710" customFormat="false" ht="15.75" hidden="false" customHeight="false" outlineLevel="0" collapsed="false">
      <c r="A710" s="69"/>
      <c r="B710" s="70"/>
      <c r="C710" s="71"/>
      <c r="D710" s="71"/>
    </row>
    <row r="711" customFormat="false" ht="15.75" hidden="false" customHeight="false" outlineLevel="0" collapsed="false">
      <c r="A711" s="69"/>
      <c r="B711" s="70"/>
      <c r="C711" s="71"/>
      <c r="D711" s="71"/>
    </row>
    <row r="712" customFormat="false" ht="15.75" hidden="false" customHeight="false" outlineLevel="0" collapsed="false">
      <c r="A712" s="69"/>
      <c r="B712" s="70"/>
      <c r="C712" s="71"/>
      <c r="D712" s="71"/>
    </row>
    <row r="713" customFormat="false" ht="15.75" hidden="false" customHeight="false" outlineLevel="0" collapsed="false">
      <c r="A713" s="69"/>
      <c r="B713" s="70"/>
      <c r="C713" s="71"/>
      <c r="D713" s="71"/>
    </row>
    <row r="714" customFormat="false" ht="15.75" hidden="false" customHeight="false" outlineLevel="0" collapsed="false">
      <c r="A714" s="69"/>
      <c r="B714" s="70"/>
      <c r="C714" s="71"/>
      <c r="D714" s="71"/>
    </row>
    <row r="715" customFormat="false" ht="15.75" hidden="false" customHeight="false" outlineLevel="0" collapsed="false">
      <c r="A715" s="69"/>
      <c r="B715" s="70"/>
      <c r="C715" s="71"/>
      <c r="D715" s="71"/>
    </row>
    <row r="716" customFormat="false" ht="15.75" hidden="false" customHeight="false" outlineLevel="0" collapsed="false">
      <c r="A716" s="69"/>
      <c r="B716" s="70"/>
      <c r="C716" s="71"/>
      <c r="D716" s="71"/>
    </row>
    <row r="717" customFormat="false" ht="15.75" hidden="false" customHeight="false" outlineLevel="0" collapsed="false">
      <c r="A717" s="69"/>
      <c r="B717" s="70"/>
      <c r="C717" s="71"/>
      <c r="D717" s="71"/>
    </row>
    <row r="718" customFormat="false" ht="15.75" hidden="false" customHeight="false" outlineLevel="0" collapsed="false">
      <c r="A718" s="69"/>
      <c r="B718" s="70"/>
      <c r="C718" s="71"/>
      <c r="D718" s="71"/>
    </row>
    <row r="719" customFormat="false" ht="15.75" hidden="false" customHeight="false" outlineLevel="0" collapsed="false">
      <c r="A719" s="69"/>
      <c r="B719" s="70"/>
      <c r="C719" s="71"/>
      <c r="D719" s="71"/>
    </row>
    <row r="720" customFormat="false" ht="15.75" hidden="false" customHeight="false" outlineLevel="0" collapsed="false">
      <c r="A720" s="69"/>
      <c r="B720" s="70"/>
      <c r="C720" s="71"/>
      <c r="D720" s="71"/>
    </row>
    <row r="721" customFormat="false" ht="15.75" hidden="false" customHeight="false" outlineLevel="0" collapsed="false">
      <c r="A721" s="69"/>
      <c r="B721" s="70"/>
      <c r="C721" s="71"/>
      <c r="D721" s="71"/>
    </row>
    <row r="722" customFormat="false" ht="15.75" hidden="false" customHeight="false" outlineLevel="0" collapsed="false">
      <c r="A722" s="69"/>
      <c r="B722" s="70"/>
      <c r="C722" s="71"/>
      <c r="D722" s="71"/>
    </row>
    <row r="723" customFormat="false" ht="15.75" hidden="false" customHeight="false" outlineLevel="0" collapsed="false">
      <c r="A723" s="69"/>
      <c r="B723" s="70"/>
      <c r="C723" s="71"/>
      <c r="D723" s="71"/>
    </row>
    <row r="724" customFormat="false" ht="15.75" hidden="false" customHeight="false" outlineLevel="0" collapsed="false">
      <c r="A724" s="69"/>
      <c r="B724" s="70"/>
      <c r="C724" s="71"/>
      <c r="D724" s="71"/>
    </row>
    <row r="725" customFormat="false" ht="15.75" hidden="false" customHeight="false" outlineLevel="0" collapsed="false">
      <c r="A725" s="69"/>
      <c r="B725" s="70"/>
      <c r="C725" s="71"/>
      <c r="D725" s="71"/>
    </row>
    <row r="726" customFormat="false" ht="15.75" hidden="false" customHeight="false" outlineLevel="0" collapsed="false">
      <c r="A726" s="69"/>
      <c r="B726" s="70"/>
      <c r="C726" s="71"/>
      <c r="D726" s="71"/>
    </row>
    <row r="727" customFormat="false" ht="15.75" hidden="false" customHeight="false" outlineLevel="0" collapsed="false">
      <c r="A727" s="69"/>
      <c r="B727" s="70"/>
      <c r="C727" s="71"/>
      <c r="D727" s="71"/>
    </row>
    <row r="728" customFormat="false" ht="15.75" hidden="false" customHeight="false" outlineLevel="0" collapsed="false">
      <c r="A728" s="69"/>
      <c r="B728" s="70"/>
      <c r="C728" s="71"/>
      <c r="D728" s="71"/>
    </row>
    <row r="729" customFormat="false" ht="15.75" hidden="false" customHeight="false" outlineLevel="0" collapsed="false">
      <c r="A729" s="69"/>
      <c r="B729" s="70"/>
      <c r="C729" s="71"/>
      <c r="D729" s="71"/>
    </row>
    <row r="730" customFormat="false" ht="15.75" hidden="false" customHeight="false" outlineLevel="0" collapsed="false">
      <c r="A730" s="69"/>
      <c r="B730" s="70"/>
      <c r="C730" s="71"/>
      <c r="D730" s="71"/>
    </row>
    <row r="731" customFormat="false" ht="15.75" hidden="false" customHeight="false" outlineLevel="0" collapsed="false">
      <c r="A731" s="69"/>
      <c r="B731" s="70"/>
      <c r="C731" s="71"/>
      <c r="D731" s="71"/>
    </row>
    <row r="732" customFormat="false" ht="15.75" hidden="false" customHeight="false" outlineLevel="0" collapsed="false">
      <c r="A732" s="69"/>
      <c r="B732" s="70"/>
      <c r="C732" s="71"/>
      <c r="D732" s="71"/>
    </row>
    <row r="733" customFormat="false" ht="15.75" hidden="false" customHeight="false" outlineLevel="0" collapsed="false">
      <c r="A733" s="69"/>
      <c r="B733" s="70"/>
      <c r="C733" s="71"/>
      <c r="D733" s="71"/>
    </row>
    <row r="734" customFormat="false" ht="15.75" hidden="false" customHeight="false" outlineLevel="0" collapsed="false">
      <c r="A734" s="69"/>
      <c r="B734" s="70"/>
      <c r="C734" s="71"/>
      <c r="D734" s="71"/>
    </row>
    <row r="735" customFormat="false" ht="15.75" hidden="false" customHeight="false" outlineLevel="0" collapsed="false">
      <c r="A735" s="69"/>
      <c r="B735" s="70"/>
      <c r="C735" s="71"/>
      <c r="D735" s="71"/>
    </row>
    <row r="736" customFormat="false" ht="15.75" hidden="false" customHeight="false" outlineLevel="0" collapsed="false">
      <c r="A736" s="69"/>
      <c r="B736" s="70"/>
      <c r="C736" s="71"/>
      <c r="D736" s="71"/>
    </row>
    <row r="737" customFormat="false" ht="15.75" hidden="false" customHeight="false" outlineLevel="0" collapsed="false">
      <c r="A737" s="69"/>
      <c r="B737" s="70"/>
      <c r="C737" s="71"/>
      <c r="D737" s="71"/>
    </row>
    <row r="738" customFormat="false" ht="15.75" hidden="false" customHeight="false" outlineLevel="0" collapsed="false">
      <c r="A738" s="69"/>
      <c r="B738" s="70"/>
      <c r="C738" s="71"/>
      <c r="D738" s="71"/>
    </row>
    <row r="739" customFormat="false" ht="15.75" hidden="false" customHeight="false" outlineLevel="0" collapsed="false">
      <c r="A739" s="69"/>
      <c r="B739" s="70"/>
      <c r="C739" s="71"/>
      <c r="D739" s="71"/>
    </row>
    <row r="740" customFormat="false" ht="15.75" hidden="false" customHeight="false" outlineLevel="0" collapsed="false">
      <c r="A740" s="69"/>
      <c r="B740" s="70"/>
      <c r="C740" s="71"/>
      <c r="D740" s="71"/>
    </row>
    <row r="741" customFormat="false" ht="15.75" hidden="false" customHeight="false" outlineLevel="0" collapsed="false">
      <c r="A741" s="69"/>
      <c r="B741" s="70"/>
      <c r="C741" s="71"/>
      <c r="D741" s="71"/>
    </row>
    <row r="742" customFormat="false" ht="15.75" hidden="false" customHeight="false" outlineLevel="0" collapsed="false">
      <c r="A742" s="69"/>
      <c r="B742" s="70"/>
      <c r="C742" s="71"/>
      <c r="D742" s="71"/>
    </row>
    <row r="743" customFormat="false" ht="15.75" hidden="false" customHeight="false" outlineLevel="0" collapsed="false">
      <c r="A743" s="69"/>
      <c r="B743" s="70"/>
      <c r="C743" s="71"/>
      <c r="D743" s="71"/>
    </row>
    <row r="744" customFormat="false" ht="15.75" hidden="false" customHeight="false" outlineLevel="0" collapsed="false">
      <c r="A744" s="69"/>
      <c r="B744" s="70"/>
      <c r="C744" s="71"/>
      <c r="D744" s="71"/>
    </row>
    <row r="745" customFormat="false" ht="15.75" hidden="false" customHeight="false" outlineLevel="0" collapsed="false">
      <c r="A745" s="69"/>
      <c r="B745" s="70"/>
      <c r="C745" s="71"/>
      <c r="D745" s="71"/>
    </row>
    <row r="746" customFormat="false" ht="15.75" hidden="false" customHeight="false" outlineLevel="0" collapsed="false">
      <c r="A746" s="69"/>
      <c r="B746" s="70"/>
      <c r="C746" s="71"/>
      <c r="D746" s="71"/>
    </row>
    <row r="747" customFormat="false" ht="15.75" hidden="false" customHeight="false" outlineLevel="0" collapsed="false">
      <c r="A747" s="69"/>
      <c r="B747" s="70"/>
      <c r="C747" s="71"/>
      <c r="D747" s="71"/>
    </row>
    <row r="748" customFormat="false" ht="15.75" hidden="false" customHeight="false" outlineLevel="0" collapsed="false">
      <c r="A748" s="69"/>
      <c r="B748" s="70"/>
      <c r="C748" s="71"/>
      <c r="D748" s="71"/>
    </row>
    <row r="749" customFormat="false" ht="15.75" hidden="false" customHeight="false" outlineLevel="0" collapsed="false">
      <c r="A749" s="69"/>
      <c r="B749" s="70"/>
      <c r="C749" s="71"/>
      <c r="D749" s="71"/>
    </row>
    <row r="750" customFormat="false" ht="15.75" hidden="false" customHeight="false" outlineLevel="0" collapsed="false">
      <c r="A750" s="69"/>
      <c r="B750" s="70"/>
      <c r="C750" s="71"/>
      <c r="D750" s="71"/>
    </row>
    <row r="751" customFormat="false" ht="15.75" hidden="false" customHeight="false" outlineLevel="0" collapsed="false">
      <c r="A751" s="69"/>
      <c r="B751" s="70"/>
      <c r="C751" s="71"/>
      <c r="D751" s="71"/>
    </row>
    <row r="752" customFormat="false" ht="15.75" hidden="false" customHeight="false" outlineLevel="0" collapsed="false">
      <c r="A752" s="69"/>
      <c r="B752" s="70"/>
      <c r="C752" s="71"/>
      <c r="D752" s="71"/>
    </row>
    <row r="753" customFormat="false" ht="15.75" hidden="false" customHeight="false" outlineLevel="0" collapsed="false">
      <c r="A753" s="69"/>
      <c r="B753" s="70"/>
      <c r="C753" s="71"/>
      <c r="D753" s="71"/>
    </row>
    <row r="754" customFormat="false" ht="15.75" hidden="false" customHeight="false" outlineLevel="0" collapsed="false">
      <c r="A754" s="69"/>
      <c r="B754" s="70"/>
      <c r="C754" s="71"/>
      <c r="D754" s="71"/>
    </row>
    <row r="755" customFormat="false" ht="15.75" hidden="false" customHeight="false" outlineLevel="0" collapsed="false">
      <c r="A755" s="69"/>
      <c r="B755" s="70"/>
      <c r="C755" s="71"/>
      <c r="D755" s="71"/>
    </row>
    <row r="756" customFormat="false" ht="15.75" hidden="false" customHeight="false" outlineLevel="0" collapsed="false">
      <c r="A756" s="69"/>
      <c r="B756" s="70"/>
      <c r="C756" s="71"/>
      <c r="D756" s="71"/>
    </row>
    <row r="757" customFormat="false" ht="15.75" hidden="false" customHeight="false" outlineLevel="0" collapsed="false">
      <c r="A757" s="69"/>
      <c r="B757" s="70"/>
      <c r="C757" s="71"/>
      <c r="D757" s="71"/>
    </row>
    <row r="758" customFormat="false" ht="15.75" hidden="false" customHeight="false" outlineLevel="0" collapsed="false">
      <c r="A758" s="69"/>
      <c r="B758" s="70"/>
      <c r="C758" s="71"/>
      <c r="D758" s="71"/>
    </row>
    <row r="759" customFormat="false" ht="15.75" hidden="false" customHeight="false" outlineLevel="0" collapsed="false">
      <c r="A759" s="69"/>
      <c r="B759" s="70"/>
      <c r="C759" s="71"/>
      <c r="D759" s="71"/>
    </row>
    <row r="760" customFormat="false" ht="15.75" hidden="false" customHeight="false" outlineLevel="0" collapsed="false">
      <c r="A760" s="69"/>
      <c r="B760" s="70"/>
      <c r="C760" s="71"/>
      <c r="D760" s="71"/>
    </row>
    <row r="761" customFormat="false" ht="15.75" hidden="false" customHeight="false" outlineLevel="0" collapsed="false">
      <c r="A761" s="69"/>
      <c r="B761" s="70"/>
      <c r="C761" s="71"/>
      <c r="D761" s="71"/>
    </row>
    <row r="762" customFormat="false" ht="15.75" hidden="false" customHeight="false" outlineLevel="0" collapsed="false">
      <c r="A762" s="69"/>
      <c r="B762" s="70"/>
      <c r="C762" s="71"/>
      <c r="D762" s="71"/>
    </row>
    <row r="763" customFormat="false" ht="15.75" hidden="false" customHeight="false" outlineLevel="0" collapsed="false">
      <c r="A763" s="69"/>
      <c r="B763" s="70"/>
      <c r="C763" s="71"/>
      <c r="D763" s="71"/>
    </row>
    <row r="764" customFormat="false" ht="15.75" hidden="false" customHeight="false" outlineLevel="0" collapsed="false">
      <c r="A764" s="69"/>
      <c r="B764" s="70"/>
      <c r="C764" s="71"/>
      <c r="D764" s="71"/>
    </row>
    <row r="765" customFormat="false" ht="15.75" hidden="false" customHeight="false" outlineLevel="0" collapsed="false">
      <c r="A765" s="69"/>
      <c r="B765" s="70"/>
      <c r="C765" s="71"/>
      <c r="D765" s="71"/>
    </row>
    <row r="766" customFormat="false" ht="15.75" hidden="false" customHeight="false" outlineLevel="0" collapsed="false">
      <c r="A766" s="69"/>
      <c r="B766" s="70"/>
      <c r="C766" s="71"/>
      <c r="D766" s="71"/>
    </row>
    <row r="767" customFormat="false" ht="15.75" hidden="false" customHeight="false" outlineLevel="0" collapsed="false">
      <c r="A767" s="69"/>
      <c r="B767" s="70"/>
      <c r="C767" s="71"/>
      <c r="D767" s="71"/>
    </row>
    <row r="768" customFormat="false" ht="15.75" hidden="false" customHeight="false" outlineLevel="0" collapsed="false">
      <c r="A768" s="69"/>
      <c r="B768" s="70"/>
      <c r="C768" s="71"/>
      <c r="D768" s="71"/>
    </row>
    <row r="769" customFormat="false" ht="15.75" hidden="false" customHeight="false" outlineLevel="0" collapsed="false">
      <c r="A769" s="69"/>
      <c r="B769" s="70"/>
      <c r="C769" s="71"/>
      <c r="D769" s="71"/>
    </row>
    <row r="770" customFormat="false" ht="15.75" hidden="false" customHeight="false" outlineLevel="0" collapsed="false">
      <c r="A770" s="69"/>
      <c r="B770" s="70"/>
      <c r="C770" s="71"/>
      <c r="D770" s="71"/>
    </row>
    <row r="771" customFormat="false" ht="15.75" hidden="false" customHeight="false" outlineLevel="0" collapsed="false">
      <c r="A771" s="69"/>
      <c r="B771" s="70"/>
      <c r="C771" s="71"/>
      <c r="D771" s="71"/>
    </row>
    <row r="772" customFormat="false" ht="15.75" hidden="false" customHeight="false" outlineLevel="0" collapsed="false">
      <c r="A772" s="69"/>
      <c r="B772" s="70"/>
      <c r="C772" s="71"/>
      <c r="D772" s="71"/>
    </row>
    <row r="773" customFormat="false" ht="15.75" hidden="false" customHeight="false" outlineLevel="0" collapsed="false">
      <c r="A773" s="69"/>
      <c r="B773" s="70"/>
      <c r="C773" s="71"/>
      <c r="D773" s="71"/>
    </row>
    <row r="774" customFormat="false" ht="15.75" hidden="false" customHeight="false" outlineLevel="0" collapsed="false">
      <c r="A774" s="69"/>
      <c r="B774" s="70"/>
      <c r="C774" s="71"/>
      <c r="D774" s="71"/>
    </row>
    <row r="775" customFormat="false" ht="15.75" hidden="false" customHeight="false" outlineLevel="0" collapsed="false">
      <c r="A775" s="69"/>
      <c r="B775" s="70"/>
      <c r="C775" s="71"/>
      <c r="D775" s="71"/>
    </row>
    <row r="776" customFormat="false" ht="15.75" hidden="false" customHeight="false" outlineLevel="0" collapsed="false">
      <c r="A776" s="69"/>
      <c r="B776" s="70"/>
      <c r="C776" s="71"/>
      <c r="D776" s="71"/>
    </row>
    <row r="777" customFormat="false" ht="15.75" hidden="false" customHeight="false" outlineLevel="0" collapsed="false">
      <c r="A777" s="69"/>
      <c r="B777" s="70"/>
      <c r="C777" s="71"/>
      <c r="D777" s="71"/>
    </row>
    <row r="778" customFormat="false" ht="15.75" hidden="false" customHeight="false" outlineLevel="0" collapsed="false">
      <c r="A778" s="69"/>
      <c r="B778" s="70"/>
      <c r="C778" s="71"/>
      <c r="D778" s="71"/>
    </row>
    <row r="779" customFormat="false" ht="15.75" hidden="false" customHeight="false" outlineLevel="0" collapsed="false">
      <c r="A779" s="69"/>
      <c r="B779" s="70"/>
      <c r="C779" s="71"/>
      <c r="D779" s="71"/>
    </row>
    <row r="780" customFormat="false" ht="15.75" hidden="false" customHeight="false" outlineLevel="0" collapsed="false">
      <c r="A780" s="69"/>
      <c r="B780" s="70"/>
      <c r="C780" s="71"/>
      <c r="D780" s="71"/>
    </row>
    <row r="781" customFormat="false" ht="15.75" hidden="false" customHeight="false" outlineLevel="0" collapsed="false">
      <c r="A781" s="69"/>
      <c r="B781" s="70"/>
      <c r="C781" s="71"/>
      <c r="D781" s="71"/>
    </row>
    <row r="782" customFormat="false" ht="15.75" hidden="false" customHeight="false" outlineLevel="0" collapsed="false">
      <c r="A782" s="69"/>
      <c r="B782" s="70"/>
      <c r="C782" s="71"/>
      <c r="D782" s="71"/>
    </row>
    <row r="783" customFormat="false" ht="15.75" hidden="false" customHeight="false" outlineLevel="0" collapsed="false">
      <c r="A783" s="69"/>
      <c r="B783" s="70"/>
      <c r="C783" s="71"/>
      <c r="D783" s="71"/>
    </row>
    <row r="784" customFormat="false" ht="15.75" hidden="false" customHeight="false" outlineLevel="0" collapsed="false">
      <c r="A784" s="69"/>
      <c r="B784" s="70"/>
      <c r="C784" s="71"/>
      <c r="D784" s="71"/>
    </row>
    <row r="785" customFormat="false" ht="15.75" hidden="false" customHeight="false" outlineLevel="0" collapsed="false">
      <c r="A785" s="69"/>
      <c r="B785" s="70"/>
      <c r="C785" s="71"/>
      <c r="D785" s="71"/>
    </row>
    <row r="786" customFormat="false" ht="15.75" hidden="false" customHeight="false" outlineLevel="0" collapsed="false">
      <c r="A786" s="69"/>
      <c r="B786" s="70"/>
      <c r="C786" s="71"/>
      <c r="D786" s="71"/>
    </row>
    <row r="787" customFormat="false" ht="15.75" hidden="false" customHeight="false" outlineLevel="0" collapsed="false">
      <c r="A787" s="69"/>
      <c r="B787" s="70"/>
      <c r="C787" s="71"/>
      <c r="D787" s="71"/>
    </row>
    <row r="788" customFormat="false" ht="15.75" hidden="false" customHeight="false" outlineLevel="0" collapsed="false">
      <c r="A788" s="69"/>
      <c r="B788" s="70"/>
      <c r="C788" s="71"/>
      <c r="D788" s="71"/>
    </row>
    <row r="789" customFormat="false" ht="15.75" hidden="false" customHeight="false" outlineLevel="0" collapsed="false">
      <c r="A789" s="69"/>
      <c r="B789" s="70"/>
      <c r="C789" s="71"/>
      <c r="D789" s="71"/>
    </row>
    <row r="790" customFormat="false" ht="15.75" hidden="false" customHeight="false" outlineLevel="0" collapsed="false">
      <c r="A790" s="69"/>
      <c r="B790" s="70"/>
      <c r="C790" s="71"/>
      <c r="D790" s="71"/>
    </row>
    <row r="791" customFormat="false" ht="15.75" hidden="false" customHeight="false" outlineLevel="0" collapsed="false">
      <c r="A791" s="69"/>
      <c r="B791" s="70"/>
      <c r="C791" s="71"/>
      <c r="D791" s="71"/>
    </row>
    <row r="792" customFormat="false" ht="15.75" hidden="false" customHeight="false" outlineLevel="0" collapsed="false">
      <c r="A792" s="69"/>
      <c r="B792" s="70"/>
      <c r="C792" s="71"/>
      <c r="D792" s="71"/>
    </row>
    <row r="793" customFormat="false" ht="15.75" hidden="false" customHeight="false" outlineLevel="0" collapsed="false">
      <c r="A793" s="69"/>
      <c r="B793" s="70"/>
      <c r="C793" s="71"/>
      <c r="D793" s="71"/>
    </row>
    <row r="794" customFormat="false" ht="15.75" hidden="false" customHeight="false" outlineLevel="0" collapsed="false">
      <c r="A794" s="69"/>
      <c r="B794" s="70"/>
      <c r="C794" s="71"/>
      <c r="D794" s="71"/>
    </row>
    <row r="795" customFormat="false" ht="15.75" hidden="false" customHeight="false" outlineLevel="0" collapsed="false">
      <c r="A795" s="69"/>
      <c r="B795" s="70"/>
      <c r="C795" s="71"/>
      <c r="D795" s="71"/>
    </row>
    <row r="796" customFormat="false" ht="15.75" hidden="false" customHeight="false" outlineLevel="0" collapsed="false">
      <c r="A796" s="69"/>
      <c r="B796" s="70"/>
      <c r="C796" s="71"/>
      <c r="D796" s="71"/>
    </row>
    <row r="797" customFormat="false" ht="15.75" hidden="false" customHeight="false" outlineLevel="0" collapsed="false">
      <c r="A797" s="69"/>
      <c r="B797" s="70"/>
      <c r="C797" s="71"/>
      <c r="D797" s="71"/>
    </row>
    <row r="798" customFormat="false" ht="15.75" hidden="false" customHeight="false" outlineLevel="0" collapsed="false">
      <c r="A798" s="69"/>
      <c r="B798" s="70"/>
      <c r="C798" s="71"/>
      <c r="D798" s="71"/>
    </row>
    <row r="799" customFormat="false" ht="15.75" hidden="false" customHeight="false" outlineLevel="0" collapsed="false">
      <c r="A799" s="69"/>
      <c r="B799" s="70"/>
      <c r="C799" s="71"/>
      <c r="D799" s="71"/>
    </row>
    <row r="800" customFormat="false" ht="15.75" hidden="false" customHeight="false" outlineLevel="0" collapsed="false">
      <c r="A800" s="69"/>
      <c r="B800" s="70"/>
      <c r="C800" s="71"/>
      <c r="D800" s="71"/>
    </row>
    <row r="801" customFormat="false" ht="15.75" hidden="false" customHeight="false" outlineLevel="0" collapsed="false">
      <c r="A801" s="69"/>
      <c r="B801" s="70"/>
      <c r="C801" s="71"/>
      <c r="D801" s="71"/>
    </row>
    <row r="802" customFormat="false" ht="15.75" hidden="false" customHeight="false" outlineLevel="0" collapsed="false">
      <c r="A802" s="69"/>
      <c r="B802" s="70"/>
      <c r="C802" s="71"/>
      <c r="D802" s="71"/>
    </row>
    <row r="803" customFormat="false" ht="15.75" hidden="false" customHeight="false" outlineLevel="0" collapsed="false">
      <c r="A803" s="69"/>
      <c r="B803" s="70"/>
      <c r="C803" s="71"/>
      <c r="D803" s="71"/>
    </row>
    <row r="804" customFormat="false" ht="15.75" hidden="false" customHeight="false" outlineLevel="0" collapsed="false">
      <c r="A804" s="69"/>
      <c r="B804" s="70"/>
      <c r="C804" s="71"/>
      <c r="D804" s="71"/>
    </row>
    <row r="805" customFormat="false" ht="15.75" hidden="false" customHeight="false" outlineLevel="0" collapsed="false">
      <c r="A805" s="69"/>
      <c r="B805" s="70"/>
      <c r="C805" s="71"/>
      <c r="D805" s="71"/>
    </row>
    <row r="806" customFormat="false" ht="15.75" hidden="false" customHeight="false" outlineLevel="0" collapsed="false">
      <c r="A806" s="69"/>
      <c r="B806" s="70"/>
      <c r="C806" s="71"/>
      <c r="D806" s="71"/>
    </row>
    <row r="807" customFormat="false" ht="15.75" hidden="false" customHeight="false" outlineLevel="0" collapsed="false">
      <c r="A807" s="69"/>
      <c r="B807" s="70"/>
      <c r="C807" s="71"/>
      <c r="D807" s="71"/>
    </row>
    <row r="808" customFormat="false" ht="15.75" hidden="false" customHeight="false" outlineLevel="0" collapsed="false">
      <c r="A808" s="69"/>
      <c r="B808" s="70"/>
      <c r="C808" s="71"/>
      <c r="D808" s="71"/>
    </row>
    <row r="809" customFormat="false" ht="15.75" hidden="false" customHeight="false" outlineLevel="0" collapsed="false">
      <c r="A809" s="69"/>
      <c r="B809" s="70"/>
      <c r="C809" s="71"/>
      <c r="D809" s="71"/>
    </row>
    <row r="810" customFormat="false" ht="15.75" hidden="false" customHeight="false" outlineLevel="0" collapsed="false">
      <c r="A810" s="69"/>
      <c r="B810" s="70"/>
      <c r="C810" s="71"/>
      <c r="D810" s="71"/>
    </row>
    <row r="811" customFormat="false" ht="15.75" hidden="false" customHeight="false" outlineLevel="0" collapsed="false">
      <c r="A811" s="69"/>
      <c r="B811" s="70"/>
      <c r="C811" s="71"/>
      <c r="D811" s="71"/>
    </row>
    <row r="812" customFormat="false" ht="15.75" hidden="false" customHeight="false" outlineLevel="0" collapsed="false">
      <c r="A812" s="69"/>
      <c r="B812" s="70"/>
      <c r="C812" s="71"/>
      <c r="D812" s="71"/>
    </row>
    <row r="813" customFormat="false" ht="15.75" hidden="false" customHeight="false" outlineLevel="0" collapsed="false">
      <c r="A813" s="69"/>
      <c r="B813" s="70"/>
      <c r="C813" s="71"/>
      <c r="D813" s="71"/>
    </row>
    <row r="814" customFormat="false" ht="15.75" hidden="false" customHeight="false" outlineLevel="0" collapsed="false">
      <c r="A814" s="69"/>
      <c r="B814" s="70"/>
      <c r="C814" s="71"/>
      <c r="D814" s="71"/>
    </row>
    <row r="815" customFormat="false" ht="15.75" hidden="false" customHeight="false" outlineLevel="0" collapsed="false">
      <c r="A815" s="69"/>
      <c r="B815" s="70"/>
      <c r="C815" s="71"/>
      <c r="D815" s="71"/>
    </row>
    <row r="816" customFormat="false" ht="15.75" hidden="false" customHeight="false" outlineLevel="0" collapsed="false">
      <c r="A816" s="69"/>
      <c r="B816" s="70"/>
      <c r="C816" s="71"/>
      <c r="D816" s="71"/>
    </row>
    <row r="817" customFormat="false" ht="15.75" hidden="false" customHeight="false" outlineLevel="0" collapsed="false">
      <c r="A817" s="69"/>
      <c r="B817" s="70"/>
      <c r="C817" s="71"/>
      <c r="D817" s="71"/>
    </row>
    <row r="818" customFormat="false" ht="15.75" hidden="false" customHeight="false" outlineLevel="0" collapsed="false">
      <c r="A818" s="69"/>
      <c r="B818" s="70"/>
      <c r="C818" s="71"/>
      <c r="D818" s="71"/>
    </row>
    <row r="819" customFormat="false" ht="15.75" hidden="false" customHeight="false" outlineLevel="0" collapsed="false">
      <c r="A819" s="69"/>
      <c r="B819" s="70"/>
      <c r="C819" s="71"/>
      <c r="D819" s="71"/>
    </row>
    <row r="820" customFormat="false" ht="15.75" hidden="false" customHeight="false" outlineLevel="0" collapsed="false">
      <c r="A820" s="69"/>
      <c r="B820" s="70"/>
      <c r="C820" s="71"/>
      <c r="D820" s="71"/>
    </row>
    <row r="821" customFormat="false" ht="15.75" hidden="false" customHeight="false" outlineLevel="0" collapsed="false">
      <c r="A821" s="69"/>
      <c r="B821" s="70"/>
      <c r="C821" s="71"/>
      <c r="D821" s="71"/>
    </row>
    <row r="822" customFormat="false" ht="15.75" hidden="false" customHeight="false" outlineLevel="0" collapsed="false">
      <c r="A822" s="69"/>
      <c r="B822" s="70"/>
      <c r="C822" s="71"/>
      <c r="D822" s="71"/>
    </row>
    <row r="823" customFormat="false" ht="15.75" hidden="false" customHeight="false" outlineLevel="0" collapsed="false">
      <c r="A823" s="69"/>
      <c r="B823" s="70"/>
      <c r="C823" s="71"/>
      <c r="D823" s="71"/>
    </row>
    <row r="824" customFormat="false" ht="15.75" hidden="false" customHeight="false" outlineLevel="0" collapsed="false">
      <c r="A824" s="69"/>
      <c r="B824" s="70"/>
      <c r="C824" s="71"/>
      <c r="D824" s="71"/>
    </row>
    <row r="825" customFormat="false" ht="15.75" hidden="false" customHeight="false" outlineLevel="0" collapsed="false">
      <c r="A825" s="69"/>
      <c r="B825" s="70"/>
      <c r="C825" s="71"/>
      <c r="D825" s="71"/>
    </row>
    <row r="826" customFormat="false" ht="15.75" hidden="false" customHeight="false" outlineLevel="0" collapsed="false">
      <c r="A826" s="69"/>
      <c r="B826" s="70"/>
      <c r="C826" s="71"/>
      <c r="D826" s="71"/>
    </row>
    <row r="827" customFormat="false" ht="15.75" hidden="false" customHeight="false" outlineLevel="0" collapsed="false">
      <c r="A827" s="69"/>
      <c r="B827" s="70"/>
      <c r="C827" s="71"/>
      <c r="D827" s="71"/>
    </row>
    <row r="828" customFormat="false" ht="15.75" hidden="false" customHeight="false" outlineLevel="0" collapsed="false">
      <c r="A828" s="69"/>
      <c r="B828" s="70"/>
      <c r="C828" s="71"/>
      <c r="D828" s="71"/>
    </row>
    <row r="829" customFormat="false" ht="15.75" hidden="false" customHeight="false" outlineLevel="0" collapsed="false">
      <c r="A829" s="69"/>
      <c r="B829" s="70"/>
      <c r="C829" s="71"/>
      <c r="D829" s="71"/>
    </row>
    <row r="830" customFormat="false" ht="15.75" hidden="false" customHeight="false" outlineLevel="0" collapsed="false">
      <c r="A830" s="69"/>
      <c r="B830" s="70"/>
      <c r="C830" s="71"/>
      <c r="D830" s="71"/>
    </row>
    <row r="831" customFormat="false" ht="15.75" hidden="false" customHeight="false" outlineLevel="0" collapsed="false">
      <c r="A831" s="69"/>
      <c r="B831" s="70"/>
      <c r="C831" s="71"/>
      <c r="D831" s="71"/>
    </row>
    <row r="832" customFormat="false" ht="15.75" hidden="false" customHeight="false" outlineLevel="0" collapsed="false">
      <c r="A832" s="69"/>
      <c r="B832" s="70"/>
      <c r="C832" s="71"/>
      <c r="D832" s="71"/>
    </row>
    <row r="833" customFormat="false" ht="15.75" hidden="false" customHeight="false" outlineLevel="0" collapsed="false">
      <c r="A833" s="69"/>
      <c r="B833" s="70"/>
      <c r="C833" s="71"/>
      <c r="D833" s="71"/>
    </row>
    <row r="834" customFormat="false" ht="15.75" hidden="false" customHeight="false" outlineLevel="0" collapsed="false">
      <c r="A834" s="69"/>
      <c r="B834" s="70"/>
      <c r="C834" s="71"/>
      <c r="D834" s="71"/>
    </row>
    <row r="835" customFormat="false" ht="15.75" hidden="false" customHeight="false" outlineLevel="0" collapsed="false">
      <c r="A835" s="69"/>
      <c r="B835" s="70"/>
      <c r="C835" s="71"/>
      <c r="D835" s="71"/>
    </row>
    <row r="836" customFormat="false" ht="15.75" hidden="false" customHeight="false" outlineLevel="0" collapsed="false">
      <c r="A836" s="69"/>
      <c r="B836" s="70"/>
      <c r="C836" s="71"/>
      <c r="D836" s="71"/>
    </row>
    <row r="837" customFormat="false" ht="15.75" hidden="false" customHeight="false" outlineLevel="0" collapsed="false">
      <c r="A837" s="69"/>
      <c r="B837" s="70"/>
      <c r="C837" s="71"/>
      <c r="D837" s="71"/>
    </row>
    <row r="838" customFormat="false" ht="15.75" hidden="false" customHeight="false" outlineLevel="0" collapsed="false">
      <c r="A838" s="69"/>
      <c r="B838" s="70"/>
      <c r="C838" s="71"/>
      <c r="D838" s="71"/>
    </row>
    <row r="839" customFormat="false" ht="15.75" hidden="false" customHeight="false" outlineLevel="0" collapsed="false">
      <c r="A839" s="69"/>
      <c r="B839" s="70"/>
      <c r="C839" s="71"/>
      <c r="D839" s="71"/>
    </row>
    <row r="840" customFormat="false" ht="15.75" hidden="false" customHeight="false" outlineLevel="0" collapsed="false">
      <c r="A840" s="69"/>
      <c r="B840" s="70"/>
      <c r="C840" s="71"/>
      <c r="D840" s="71"/>
    </row>
    <row r="841" customFormat="false" ht="15.75" hidden="false" customHeight="false" outlineLevel="0" collapsed="false">
      <c r="A841" s="69"/>
      <c r="B841" s="70"/>
      <c r="C841" s="71"/>
      <c r="D841" s="71"/>
    </row>
    <row r="842" customFormat="false" ht="15.75" hidden="false" customHeight="false" outlineLevel="0" collapsed="false">
      <c r="A842" s="69"/>
      <c r="B842" s="70"/>
      <c r="C842" s="71"/>
      <c r="D842" s="71"/>
    </row>
    <row r="843" customFormat="false" ht="15.75" hidden="false" customHeight="false" outlineLevel="0" collapsed="false">
      <c r="A843" s="69"/>
      <c r="B843" s="70"/>
      <c r="C843" s="71"/>
      <c r="D843" s="71"/>
    </row>
    <row r="844" customFormat="false" ht="15.75" hidden="false" customHeight="false" outlineLevel="0" collapsed="false">
      <c r="A844" s="69"/>
      <c r="B844" s="70"/>
      <c r="C844" s="71"/>
      <c r="D844" s="71"/>
    </row>
    <row r="845" customFormat="false" ht="15.75" hidden="false" customHeight="false" outlineLevel="0" collapsed="false">
      <c r="A845" s="69"/>
      <c r="B845" s="70"/>
      <c r="C845" s="71"/>
      <c r="D845" s="71"/>
    </row>
    <row r="846" customFormat="false" ht="15.75" hidden="false" customHeight="false" outlineLevel="0" collapsed="false">
      <c r="A846" s="69"/>
      <c r="B846" s="70"/>
      <c r="C846" s="71"/>
      <c r="D846" s="71"/>
    </row>
    <row r="847" customFormat="false" ht="15.75" hidden="false" customHeight="false" outlineLevel="0" collapsed="false">
      <c r="A847" s="69"/>
      <c r="B847" s="70"/>
      <c r="C847" s="71"/>
      <c r="D847" s="71"/>
    </row>
    <row r="848" customFormat="false" ht="15.75" hidden="false" customHeight="false" outlineLevel="0" collapsed="false">
      <c r="A848" s="69"/>
      <c r="B848" s="70"/>
      <c r="C848" s="71"/>
      <c r="D848" s="71"/>
    </row>
    <row r="849" customFormat="false" ht="15.75" hidden="false" customHeight="false" outlineLevel="0" collapsed="false">
      <c r="A849" s="69"/>
      <c r="B849" s="70"/>
      <c r="C849" s="71"/>
      <c r="D849" s="71"/>
    </row>
    <row r="850" customFormat="false" ht="15.75" hidden="false" customHeight="false" outlineLevel="0" collapsed="false">
      <c r="A850" s="69"/>
      <c r="B850" s="70"/>
      <c r="C850" s="71"/>
      <c r="D850" s="71"/>
    </row>
    <row r="851" customFormat="false" ht="15.75" hidden="false" customHeight="false" outlineLevel="0" collapsed="false">
      <c r="A851" s="69"/>
      <c r="B851" s="70"/>
      <c r="C851" s="71"/>
      <c r="D851" s="71"/>
    </row>
    <row r="852" customFormat="false" ht="15.75" hidden="false" customHeight="false" outlineLevel="0" collapsed="false">
      <c r="A852" s="69"/>
      <c r="B852" s="70"/>
      <c r="C852" s="71"/>
      <c r="D852" s="71"/>
    </row>
    <row r="853" customFormat="false" ht="15.75" hidden="false" customHeight="false" outlineLevel="0" collapsed="false">
      <c r="A853" s="69"/>
      <c r="B853" s="70"/>
      <c r="C853" s="71"/>
      <c r="D853" s="71"/>
    </row>
    <row r="854" customFormat="false" ht="15.75" hidden="false" customHeight="false" outlineLevel="0" collapsed="false">
      <c r="A854" s="69"/>
      <c r="B854" s="70"/>
      <c r="C854" s="71"/>
      <c r="D854" s="71"/>
    </row>
    <row r="855" customFormat="false" ht="15.75" hidden="false" customHeight="false" outlineLevel="0" collapsed="false">
      <c r="A855" s="69"/>
      <c r="B855" s="70"/>
      <c r="C855" s="71"/>
      <c r="D855" s="71"/>
    </row>
    <row r="856" customFormat="false" ht="15.75" hidden="false" customHeight="false" outlineLevel="0" collapsed="false">
      <c r="A856" s="69"/>
      <c r="B856" s="70"/>
      <c r="C856" s="71"/>
      <c r="D856" s="71"/>
    </row>
    <row r="857" customFormat="false" ht="15.75" hidden="false" customHeight="false" outlineLevel="0" collapsed="false">
      <c r="A857" s="69"/>
      <c r="B857" s="70"/>
      <c r="C857" s="71"/>
      <c r="D857" s="71"/>
    </row>
    <row r="858" customFormat="false" ht="15.75" hidden="false" customHeight="false" outlineLevel="0" collapsed="false">
      <c r="A858" s="69"/>
      <c r="B858" s="70"/>
      <c r="C858" s="71"/>
      <c r="D858" s="71"/>
    </row>
    <row r="859" customFormat="false" ht="15.75" hidden="false" customHeight="false" outlineLevel="0" collapsed="false">
      <c r="A859" s="69"/>
      <c r="B859" s="70"/>
      <c r="C859" s="71"/>
      <c r="D859" s="71"/>
    </row>
    <row r="860" customFormat="false" ht="15.75" hidden="false" customHeight="false" outlineLevel="0" collapsed="false">
      <c r="A860" s="69"/>
      <c r="B860" s="70"/>
      <c r="C860" s="71"/>
      <c r="D860" s="71"/>
    </row>
    <row r="861" customFormat="false" ht="15.75" hidden="false" customHeight="false" outlineLevel="0" collapsed="false">
      <c r="A861" s="69"/>
      <c r="B861" s="70"/>
      <c r="C861" s="71"/>
      <c r="D861" s="71"/>
    </row>
    <row r="862" customFormat="false" ht="15.75" hidden="false" customHeight="false" outlineLevel="0" collapsed="false">
      <c r="A862" s="69"/>
      <c r="B862" s="70"/>
      <c r="C862" s="71"/>
      <c r="D862" s="71"/>
    </row>
    <row r="863" customFormat="false" ht="15.75" hidden="false" customHeight="false" outlineLevel="0" collapsed="false">
      <c r="A863" s="69"/>
      <c r="B863" s="70"/>
      <c r="C863" s="71"/>
      <c r="D863" s="71"/>
    </row>
    <row r="864" customFormat="false" ht="15.75" hidden="false" customHeight="false" outlineLevel="0" collapsed="false">
      <c r="A864" s="69"/>
      <c r="B864" s="70"/>
      <c r="C864" s="71"/>
      <c r="D864" s="71"/>
    </row>
    <row r="865" customFormat="false" ht="15.75" hidden="false" customHeight="false" outlineLevel="0" collapsed="false">
      <c r="A865" s="69"/>
      <c r="B865" s="70"/>
      <c r="C865" s="71"/>
      <c r="D865" s="71"/>
    </row>
    <row r="866" customFormat="false" ht="15.75" hidden="false" customHeight="false" outlineLevel="0" collapsed="false">
      <c r="A866" s="69"/>
      <c r="B866" s="70"/>
      <c r="C866" s="71"/>
      <c r="D866" s="71"/>
    </row>
    <row r="867" customFormat="false" ht="15.75" hidden="false" customHeight="false" outlineLevel="0" collapsed="false">
      <c r="A867" s="69"/>
      <c r="B867" s="70"/>
      <c r="C867" s="71"/>
      <c r="D867" s="71"/>
    </row>
    <row r="868" customFormat="false" ht="15.75" hidden="false" customHeight="false" outlineLevel="0" collapsed="false">
      <c r="A868" s="69"/>
      <c r="B868" s="70"/>
      <c r="C868" s="71"/>
      <c r="D868" s="71"/>
    </row>
    <row r="869" customFormat="false" ht="15.75" hidden="false" customHeight="false" outlineLevel="0" collapsed="false">
      <c r="A869" s="69"/>
      <c r="B869" s="70"/>
      <c r="C869" s="71"/>
      <c r="D869" s="71"/>
    </row>
    <row r="870" customFormat="false" ht="15.75" hidden="false" customHeight="false" outlineLevel="0" collapsed="false">
      <c r="A870" s="69"/>
      <c r="B870" s="70"/>
      <c r="C870" s="71"/>
      <c r="D870" s="71"/>
    </row>
    <row r="871" customFormat="false" ht="15.75" hidden="false" customHeight="false" outlineLevel="0" collapsed="false">
      <c r="A871" s="69"/>
      <c r="B871" s="70"/>
      <c r="C871" s="71"/>
      <c r="D871" s="71"/>
    </row>
    <row r="872" customFormat="false" ht="15.75" hidden="false" customHeight="false" outlineLevel="0" collapsed="false">
      <c r="A872" s="69"/>
      <c r="B872" s="70"/>
      <c r="C872" s="71"/>
      <c r="D872" s="71"/>
    </row>
    <row r="873" customFormat="false" ht="15.75" hidden="false" customHeight="false" outlineLevel="0" collapsed="false">
      <c r="A873" s="69"/>
      <c r="B873" s="70"/>
      <c r="C873" s="71"/>
      <c r="D873" s="71"/>
    </row>
    <row r="874" customFormat="false" ht="15.75" hidden="false" customHeight="false" outlineLevel="0" collapsed="false">
      <c r="A874" s="69"/>
      <c r="B874" s="70"/>
      <c r="C874" s="71"/>
      <c r="D874" s="71"/>
    </row>
    <row r="875" customFormat="false" ht="15.75" hidden="false" customHeight="false" outlineLevel="0" collapsed="false">
      <c r="A875" s="69"/>
      <c r="B875" s="70"/>
      <c r="C875" s="71"/>
      <c r="D875" s="71"/>
    </row>
    <row r="876" customFormat="false" ht="15.75" hidden="false" customHeight="false" outlineLevel="0" collapsed="false">
      <c r="A876" s="69"/>
      <c r="B876" s="70"/>
      <c r="C876" s="71"/>
      <c r="D876" s="71"/>
    </row>
    <row r="877" customFormat="false" ht="15.75" hidden="false" customHeight="false" outlineLevel="0" collapsed="false">
      <c r="A877" s="69"/>
      <c r="B877" s="70"/>
      <c r="C877" s="71"/>
      <c r="D877" s="71"/>
    </row>
    <row r="878" customFormat="false" ht="15.75" hidden="false" customHeight="false" outlineLevel="0" collapsed="false">
      <c r="A878" s="69"/>
      <c r="B878" s="70"/>
      <c r="C878" s="71"/>
      <c r="D878" s="71"/>
    </row>
    <row r="879" customFormat="false" ht="15.75" hidden="false" customHeight="false" outlineLevel="0" collapsed="false">
      <c r="A879" s="69"/>
      <c r="B879" s="70"/>
      <c r="C879" s="71"/>
      <c r="D879" s="71"/>
    </row>
    <row r="880" customFormat="false" ht="15.75" hidden="false" customHeight="false" outlineLevel="0" collapsed="false">
      <c r="A880" s="69"/>
      <c r="B880" s="70"/>
      <c r="C880" s="71"/>
      <c r="D880" s="71"/>
    </row>
    <row r="881" customFormat="false" ht="15.75" hidden="false" customHeight="false" outlineLevel="0" collapsed="false">
      <c r="A881" s="69"/>
      <c r="B881" s="70"/>
      <c r="C881" s="71"/>
      <c r="D881" s="71"/>
    </row>
    <row r="882" customFormat="false" ht="15.75" hidden="false" customHeight="false" outlineLevel="0" collapsed="false">
      <c r="A882" s="69"/>
      <c r="B882" s="70"/>
      <c r="C882" s="71"/>
      <c r="D882" s="71"/>
    </row>
    <row r="883" customFormat="false" ht="15.75" hidden="false" customHeight="false" outlineLevel="0" collapsed="false">
      <c r="A883" s="69"/>
      <c r="B883" s="70"/>
      <c r="C883" s="71"/>
      <c r="D883" s="71"/>
    </row>
    <row r="884" customFormat="false" ht="15.75" hidden="false" customHeight="false" outlineLevel="0" collapsed="false">
      <c r="A884" s="69"/>
      <c r="B884" s="70"/>
      <c r="C884" s="71"/>
      <c r="D884" s="71"/>
    </row>
    <row r="885" customFormat="false" ht="15.75" hidden="false" customHeight="false" outlineLevel="0" collapsed="false">
      <c r="A885" s="69"/>
      <c r="B885" s="70"/>
      <c r="C885" s="71"/>
      <c r="D885" s="71"/>
    </row>
    <row r="886" customFormat="false" ht="15.75" hidden="false" customHeight="false" outlineLevel="0" collapsed="false">
      <c r="A886" s="69"/>
      <c r="B886" s="70"/>
      <c r="C886" s="71"/>
      <c r="D886" s="71"/>
    </row>
    <row r="887" customFormat="false" ht="15.75" hidden="false" customHeight="false" outlineLevel="0" collapsed="false">
      <c r="A887" s="69"/>
      <c r="B887" s="70"/>
      <c r="C887" s="71"/>
      <c r="D887" s="71"/>
    </row>
    <row r="888" customFormat="false" ht="15.75" hidden="false" customHeight="false" outlineLevel="0" collapsed="false">
      <c r="A888" s="69"/>
      <c r="B888" s="70"/>
      <c r="C888" s="71"/>
      <c r="D888" s="71"/>
    </row>
    <row r="889" customFormat="false" ht="15.75" hidden="false" customHeight="false" outlineLevel="0" collapsed="false">
      <c r="A889" s="69"/>
      <c r="B889" s="70"/>
      <c r="C889" s="71"/>
      <c r="D889" s="71"/>
    </row>
    <row r="890" customFormat="false" ht="15.75" hidden="false" customHeight="false" outlineLevel="0" collapsed="false">
      <c r="A890" s="69"/>
      <c r="B890" s="70"/>
      <c r="C890" s="71"/>
      <c r="D890" s="71"/>
    </row>
    <row r="891" customFormat="false" ht="15.75" hidden="false" customHeight="false" outlineLevel="0" collapsed="false">
      <c r="A891" s="69"/>
      <c r="B891" s="70"/>
      <c r="C891" s="71"/>
      <c r="D891" s="71"/>
    </row>
    <row r="892" customFormat="false" ht="15.75" hidden="false" customHeight="false" outlineLevel="0" collapsed="false">
      <c r="A892" s="69"/>
      <c r="B892" s="70"/>
      <c r="C892" s="71"/>
      <c r="D892" s="71"/>
    </row>
    <row r="893" customFormat="false" ht="15.75" hidden="false" customHeight="false" outlineLevel="0" collapsed="false">
      <c r="A893" s="69"/>
      <c r="B893" s="70"/>
      <c r="C893" s="71"/>
      <c r="D893" s="71"/>
    </row>
    <row r="894" customFormat="false" ht="15.75" hidden="false" customHeight="false" outlineLevel="0" collapsed="false">
      <c r="A894" s="69"/>
      <c r="B894" s="70"/>
      <c r="C894" s="71"/>
      <c r="D894" s="71"/>
    </row>
    <row r="895" customFormat="false" ht="15.75" hidden="false" customHeight="false" outlineLevel="0" collapsed="false">
      <c r="A895" s="69"/>
      <c r="B895" s="70"/>
      <c r="C895" s="71"/>
      <c r="D895" s="71"/>
    </row>
    <row r="896" customFormat="false" ht="15.75" hidden="false" customHeight="false" outlineLevel="0" collapsed="false">
      <c r="A896" s="69"/>
      <c r="B896" s="70"/>
      <c r="C896" s="71"/>
      <c r="D896" s="71"/>
    </row>
    <row r="897" customFormat="false" ht="15.75" hidden="false" customHeight="false" outlineLevel="0" collapsed="false">
      <c r="A897" s="69"/>
      <c r="B897" s="70"/>
      <c r="C897" s="71"/>
      <c r="D897" s="71"/>
    </row>
    <row r="898" customFormat="false" ht="15.75" hidden="false" customHeight="false" outlineLevel="0" collapsed="false">
      <c r="A898" s="69"/>
      <c r="B898" s="70"/>
      <c r="C898" s="71"/>
      <c r="D898" s="71"/>
    </row>
    <row r="899" customFormat="false" ht="15.75" hidden="false" customHeight="false" outlineLevel="0" collapsed="false">
      <c r="A899" s="69"/>
      <c r="B899" s="70"/>
      <c r="C899" s="71"/>
      <c r="D899" s="71"/>
    </row>
    <row r="900" customFormat="false" ht="15.75" hidden="false" customHeight="false" outlineLevel="0" collapsed="false">
      <c r="A900" s="69"/>
      <c r="B900" s="70"/>
      <c r="C900" s="71"/>
      <c r="D900" s="71"/>
    </row>
    <row r="901" customFormat="false" ht="15.75" hidden="false" customHeight="false" outlineLevel="0" collapsed="false">
      <c r="A901" s="69"/>
      <c r="B901" s="70"/>
      <c r="C901" s="71"/>
      <c r="D901" s="71"/>
    </row>
    <row r="902" customFormat="false" ht="15.75" hidden="false" customHeight="false" outlineLevel="0" collapsed="false">
      <c r="A902" s="69"/>
      <c r="B902" s="70"/>
      <c r="C902" s="71"/>
      <c r="D902" s="71"/>
    </row>
    <row r="903" customFormat="false" ht="15.75" hidden="false" customHeight="false" outlineLevel="0" collapsed="false">
      <c r="A903" s="69"/>
      <c r="B903" s="70"/>
      <c r="C903" s="71"/>
      <c r="D903" s="71"/>
    </row>
    <row r="904" customFormat="false" ht="15.75" hidden="false" customHeight="false" outlineLevel="0" collapsed="false">
      <c r="A904" s="69"/>
      <c r="B904" s="70"/>
      <c r="C904" s="71"/>
      <c r="D904" s="71"/>
    </row>
    <row r="905" customFormat="false" ht="15.75" hidden="false" customHeight="false" outlineLevel="0" collapsed="false">
      <c r="A905" s="69"/>
      <c r="B905" s="70"/>
      <c r="C905" s="71"/>
      <c r="D905" s="71"/>
    </row>
    <row r="906" customFormat="false" ht="15.75" hidden="false" customHeight="false" outlineLevel="0" collapsed="false">
      <c r="A906" s="69"/>
      <c r="B906" s="70"/>
      <c r="C906" s="71"/>
      <c r="D906" s="71"/>
    </row>
    <row r="907" customFormat="false" ht="15.75" hidden="false" customHeight="false" outlineLevel="0" collapsed="false">
      <c r="A907" s="69"/>
      <c r="B907" s="70"/>
      <c r="C907" s="71"/>
      <c r="D907" s="71"/>
    </row>
    <row r="908" customFormat="false" ht="15.75" hidden="false" customHeight="false" outlineLevel="0" collapsed="false">
      <c r="A908" s="69"/>
      <c r="B908" s="70"/>
      <c r="C908" s="71"/>
      <c r="D908" s="71"/>
    </row>
    <row r="909" customFormat="false" ht="15.75" hidden="false" customHeight="false" outlineLevel="0" collapsed="false">
      <c r="A909" s="69"/>
      <c r="B909" s="70"/>
      <c r="C909" s="71"/>
      <c r="D909" s="71"/>
    </row>
    <row r="910" customFormat="false" ht="15.75" hidden="false" customHeight="false" outlineLevel="0" collapsed="false">
      <c r="A910" s="69"/>
      <c r="B910" s="70"/>
      <c r="C910" s="71"/>
      <c r="D910" s="71"/>
    </row>
    <row r="911" customFormat="false" ht="15.75" hidden="false" customHeight="false" outlineLevel="0" collapsed="false">
      <c r="A911" s="69"/>
      <c r="B911" s="70"/>
      <c r="C911" s="71"/>
      <c r="D911" s="71"/>
    </row>
    <row r="912" customFormat="false" ht="15.75" hidden="false" customHeight="false" outlineLevel="0" collapsed="false">
      <c r="A912" s="69"/>
      <c r="B912" s="70"/>
      <c r="C912" s="71"/>
      <c r="D912" s="71"/>
    </row>
    <row r="913" customFormat="false" ht="15.75" hidden="false" customHeight="false" outlineLevel="0" collapsed="false">
      <c r="A913" s="69"/>
      <c r="B913" s="70"/>
      <c r="C913" s="71"/>
      <c r="D913" s="71"/>
    </row>
    <row r="914" customFormat="false" ht="15.75" hidden="false" customHeight="false" outlineLevel="0" collapsed="false">
      <c r="A914" s="69"/>
      <c r="B914" s="70"/>
      <c r="C914" s="71"/>
      <c r="D914" s="71"/>
    </row>
    <row r="915" customFormat="false" ht="15.75" hidden="false" customHeight="false" outlineLevel="0" collapsed="false">
      <c r="A915" s="69"/>
      <c r="B915" s="70"/>
      <c r="C915" s="71"/>
      <c r="D915" s="71"/>
    </row>
    <row r="916" customFormat="false" ht="15.75" hidden="false" customHeight="false" outlineLevel="0" collapsed="false">
      <c r="A916" s="69"/>
      <c r="B916" s="70"/>
      <c r="C916" s="71"/>
      <c r="D916" s="71"/>
    </row>
    <row r="917" customFormat="false" ht="15.75" hidden="false" customHeight="false" outlineLevel="0" collapsed="false">
      <c r="A917" s="69"/>
      <c r="B917" s="70"/>
      <c r="C917" s="71"/>
      <c r="D917" s="71"/>
    </row>
    <row r="918" customFormat="false" ht="15.75" hidden="false" customHeight="false" outlineLevel="0" collapsed="false">
      <c r="A918" s="69"/>
      <c r="B918" s="70"/>
      <c r="C918" s="71"/>
      <c r="D918" s="71"/>
    </row>
    <row r="919" customFormat="false" ht="15.75" hidden="false" customHeight="false" outlineLevel="0" collapsed="false">
      <c r="A919" s="69"/>
      <c r="B919" s="70"/>
      <c r="C919" s="71"/>
      <c r="D919" s="71"/>
    </row>
    <row r="920" customFormat="false" ht="15.75" hidden="false" customHeight="false" outlineLevel="0" collapsed="false">
      <c r="A920" s="69"/>
      <c r="B920" s="70"/>
      <c r="C920" s="71"/>
      <c r="D920" s="71"/>
    </row>
    <row r="921" customFormat="false" ht="15.75" hidden="false" customHeight="false" outlineLevel="0" collapsed="false">
      <c r="A921" s="69"/>
      <c r="B921" s="70"/>
      <c r="C921" s="71"/>
      <c r="D921" s="71"/>
    </row>
    <row r="922" customFormat="false" ht="15.75" hidden="false" customHeight="false" outlineLevel="0" collapsed="false">
      <c r="A922" s="69"/>
      <c r="B922" s="70"/>
      <c r="C922" s="71"/>
      <c r="D922" s="71"/>
    </row>
    <row r="923" customFormat="false" ht="15.75" hidden="false" customHeight="false" outlineLevel="0" collapsed="false">
      <c r="A923" s="69"/>
      <c r="B923" s="70"/>
      <c r="C923" s="71"/>
      <c r="D923" s="71"/>
    </row>
    <row r="924" customFormat="false" ht="15.75" hidden="false" customHeight="false" outlineLevel="0" collapsed="false">
      <c r="A924" s="69"/>
      <c r="B924" s="70"/>
      <c r="C924" s="71"/>
      <c r="D924" s="71"/>
    </row>
    <row r="925" customFormat="false" ht="15.75" hidden="false" customHeight="false" outlineLevel="0" collapsed="false">
      <c r="A925" s="69"/>
      <c r="B925" s="70"/>
      <c r="C925" s="71"/>
      <c r="D925" s="71"/>
    </row>
    <row r="926" customFormat="false" ht="15.75" hidden="false" customHeight="false" outlineLevel="0" collapsed="false">
      <c r="A926" s="69"/>
      <c r="B926" s="70"/>
      <c r="C926" s="71"/>
      <c r="D926" s="71"/>
    </row>
    <row r="927" customFormat="false" ht="15.75" hidden="false" customHeight="false" outlineLevel="0" collapsed="false">
      <c r="A927" s="69"/>
      <c r="B927" s="70"/>
      <c r="C927" s="71"/>
      <c r="D927" s="71"/>
    </row>
    <row r="928" customFormat="false" ht="15.75" hidden="false" customHeight="false" outlineLevel="0" collapsed="false">
      <c r="A928" s="69"/>
      <c r="B928" s="70"/>
      <c r="C928" s="71"/>
      <c r="D928" s="71"/>
    </row>
    <row r="929" customFormat="false" ht="15.75" hidden="false" customHeight="false" outlineLevel="0" collapsed="false">
      <c r="A929" s="69"/>
      <c r="B929" s="70"/>
      <c r="C929" s="71"/>
      <c r="D929" s="71"/>
    </row>
    <row r="930" customFormat="false" ht="15.75" hidden="false" customHeight="false" outlineLevel="0" collapsed="false">
      <c r="A930" s="69"/>
      <c r="B930" s="70"/>
      <c r="C930" s="71"/>
      <c r="D930" s="71"/>
    </row>
    <row r="931" customFormat="false" ht="15.75" hidden="false" customHeight="false" outlineLevel="0" collapsed="false">
      <c r="A931" s="69"/>
      <c r="B931" s="70"/>
      <c r="C931" s="71"/>
      <c r="D931" s="71"/>
    </row>
    <row r="932" customFormat="false" ht="15.75" hidden="false" customHeight="false" outlineLevel="0" collapsed="false">
      <c r="A932" s="69"/>
      <c r="B932" s="70"/>
      <c r="C932" s="71"/>
      <c r="D932" s="71"/>
    </row>
    <row r="933" customFormat="false" ht="15.75" hidden="false" customHeight="false" outlineLevel="0" collapsed="false">
      <c r="A933" s="69"/>
      <c r="B933" s="70"/>
      <c r="C933" s="71"/>
      <c r="D933" s="71"/>
    </row>
    <row r="934" customFormat="false" ht="15.75" hidden="false" customHeight="false" outlineLevel="0" collapsed="false">
      <c r="A934" s="69"/>
      <c r="B934" s="70"/>
      <c r="C934" s="71"/>
      <c r="D934" s="71"/>
    </row>
    <row r="935" customFormat="false" ht="15.75" hidden="false" customHeight="false" outlineLevel="0" collapsed="false">
      <c r="A935" s="69"/>
      <c r="B935" s="70"/>
      <c r="C935" s="71"/>
      <c r="D935" s="71"/>
    </row>
    <row r="936" customFormat="false" ht="15.75" hidden="false" customHeight="false" outlineLevel="0" collapsed="false">
      <c r="A936" s="69"/>
      <c r="B936" s="70"/>
      <c r="C936" s="71"/>
      <c r="D936" s="71"/>
    </row>
    <row r="937" customFormat="false" ht="15.75" hidden="false" customHeight="false" outlineLevel="0" collapsed="false">
      <c r="A937" s="69"/>
      <c r="B937" s="70"/>
      <c r="C937" s="71"/>
      <c r="D937" s="71"/>
    </row>
    <row r="938" customFormat="false" ht="15.75" hidden="false" customHeight="false" outlineLevel="0" collapsed="false">
      <c r="A938" s="69"/>
      <c r="B938" s="70"/>
      <c r="C938" s="71"/>
      <c r="D938" s="71"/>
    </row>
    <row r="939" customFormat="false" ht="15.75" hidden="false" customHeight="false" outlineLevel="0" collapsed="false">
      <c r="A939" s="69"/>
      <c r="B939" s="70"/>
      <c r="C939" s="71"/>
      <c r="D939" s="71"/>
    </row>
    <row r="940" customFormat="false" ht="15.75" hidden="false" customHeight="false" outlineLevel="0" collapsed="false">
      <c r="A940" s="69"/>
      <c r="B940" s="70"/>
      <c r="C940" s="71"/>
      <c r="D940" s="71"/>
    </row>
    <row r="941" customFormat="false" ht="15.75" hidden="false" customHeight="false" outlineLevel="0" collapsed="false">
      <c r="A941" s="69"/>
      <c r="B941" s="70"/>
      <c r="C941" s="71"/>
      <c r="D941" s="71"/>
    </row>
    <row r="942" customFormat="false" ht="15.75" hidden="false" customHeight="false" outlineLevel="0" collapsed="false">
      <c r="A942" s="69"/>
      <c r="B942" s="70"/>
      <c r="C942" s="71"/>
      <c r="D942" s="71"/>
    </row>
    <row r="943" customFormat="false" ht="15.75" hidden="false" customHeight="false" outlineLevel="0" collapsed="false">
      <c r="A943" s="69"/>
      <c r="B943" s="70"/>
      <c r="C943" s="71"/>
      <c r="D943" s="71"/>
    </row>
    <row r="944" customFormat="false" ht="15.75" hidden="false" customHeight="false" outlineLevel="0" collapsed="false">
      <c r="A944" s="69"/>
      <c r="B944" s="70"/>
      <c r="C944" s="71"/>
      <c r="D944" s="71"/>
    </row>
    <row r="945" customFormat="false" ht="15.75" hidden="false" customHeight="false" outlineLevel="0" collapsed="false">
      <c r="A945" s="69"/>
      <c r="B945" s="70"/>
      <c r="C945" s="71"/>
      <c r="D945" s="71"/>
    </row>
    <row r="946" customFormat="false" ht="15.75" hidden="false" customHeight="false" outlineLevel="0" collapsed="false">
      <c r="A946" s="69"/>
      <c r="B946" s="70"/>
      <c r="C946" s="71"/>
      <c r="D946" s="71"/>
    </row>
    <row r="947" customFormat="false" ht="15.75" hidden="false" customHeight="false" outlineLevel="0" collapsed="false">
      <c r="A947" s="69"/>
      <c r="B947" s="70"/>
      <c r="C947" s="71"/>
      <c r="D947" s="71"/>
    </row>
    <row r="948" customFormat="false" ht="15.75" hidden="false" customHeight="false" outlineLevel="0" collapsed="false">
      <c r="A948" s="69"/>
      <c r="B948" s="70"/>
      <c r="C948" s="71"/>
      <c r="D948" s="71"/>
    </row>
    <row r="949" customFormat="false" ht="15.75" hidden="false" customHeight="false" outlineLevel="0" collapsed="false">
      <c r="A949" s="69"/>
      <c r="B949" s="70"/>
      <c r="C949" s="71"/>
      <c r="D949" s="71"/>
    </row>
    <row r="950" customFormat="false" ht="15.75" hidden="false" customHeight="false" outlineLevel="0" collapsed="false">
      <c r="A950" s="69"/>
      <c r="B950" s="70"/>
      <c r="C950" s="71"/>
      <c r="D950" s="71"/>
    </row>
    <row r="951" customFormat="false" ht="15.75" hidden="false" customHeight="false" outlineLevel="0" collapsed="false">
      <c r="A951" s="69"/>
      <c r="B951" s="70"/>
      <c r="C951" s="71"/>
      <c r="D951" s="71"/>
    </row>
    <row r="952" customFormat="false" ht="15.75" hidden="false" customHeight="false" outlineLevel="0" collapsed="false">
      <c r="A952" s="69"/>
      <c r="B952" s="70"/>
      <c r="C952" s="71"/>
      <c r="D952" s="71"/>
    </row>
    <row r="953" customFormat="false" ht="15.75" hidden="false" customHeight="false" outlineLevel="0" collapsed="false">
      <c r="A953" s="69"/>
      <c r="B953" s="70"/>
      <c r="C953" s="71"/>
      <c r="D953" s="71"/>
    </row>
    <row r="954" customFormat="false" ht="15.75" hidden="false" customHeight="false" outlineLevel="0" collapsed="false">
      <c r="A954" s="69"/>
      <c r="B954" s="70"/>
      <c r="C954" s="71"/>
      <c r="D954" s="71"/>
    </row>
    <row r="955" customFormat="false" ht="15.75" hidden="false" customHeight="false" outlineLevel="0" collapsed="false">
      <c r="A955" s="69"/>
      <c r="B955" s="70"/>
      <c r="C955" s="71"/>
      <c r="D955" s="71"/>
    </row>
    <row r="956" customFormat="false" ht="15.75" hidden="false" customHeight="false" outlineLevel="0" collapsed="false">
      <c r="A956" s="69"/>
      <c r="B956" s="70"/>
      <c r="C956" s="71"/>
      <c r="D956" s="71"/>
    </row>
    <row r="957" customFormat="false" ht="15.75" hidden="false" customHeight="false" outlineLevel="0" collapsed="false">
      <c r="A957" s="69"/>
      <c r="B957" s="70"/>
      <c r="C957" s="71"/>
      <c r="D957" s="71"/>
    </row>
    <row r="958" customFormat="false" ht="15.75" hidden="false" customHeight="false" outlineLevel="0" collapsed="false">
      <c r="A958" s="69"/>
      <c r="B958" s="70"/>
      <c r="C958" s="71"/>
      <c r="D958" s="71"/>
    </row>
    <row r="959" customFormat="false" ht="15.75" hidden="false" customHeight="false" outlineLevel="0" collapsed="false">
      <c r="A959" s="69"/>
      <c r="B959" s="70"/>
      <c r="C959" s="71"/>
      <c r="D959" s="71"/>
    </row>
    <row r="960" customFormat="false" ht="15.75" hidden="false" customHeight="false" outlineLevel="0" collapsed="false">
      <c r="A960" s="69"/>
      <c r="B960" s="70"/>
      <c r="C960" s="71"/>
      <c r="D960" s="71"/>
    </row>
    <row r="961" customFormat="false" ht="15.75" hidden="false" customHeight="false" outlineLevel="0" collapsed="false">
      <c r="A961" s="69"/>
      <c r="B961" s="70"/>
      <c r="C961" s="71"/>
      <c r="D961" s="71"/>
    </row>
    <row r="962" customFormat="false" ht="15.75" hidden="false" customHeight="false" outlineLevel="0" collapsed="false">
      <c r="A962" s="69"/>
      <c r="B962" s="70"/>
      <c r="C962" s="71"/>
      <c r="D962" s="71"/>
    </row>
    <row r="963" customFormat="false" ht="15.75" hidden="false" customHeight="false" outlineLevel="0" collapsed="false">
      <c r="A963" s="69"/>
      <c r="B963" s="70"/>
      <c r="C963" s="71"/>
      <c r="D963" s="71"/>
    </row>
    <row r="964" customFormat="false" ht="15.75" hidden="false" customHeight="false" outlineLevel="0" collapsed="false">
      <c r="A964" s="69"/>
      <c r="B964" s="70"/>
      <c r="C964" s="71"/>
      <c r="D964" s="71"/>
    </row>
    <row r="965" customFormat="false" ht="15.75" hidden="false" customHeight="false" outlineLevel="0" collapsed="false">
      <c r="A965" s="69"/>
      <c r="B965" s="70"/>
      <c r="C965" s="71"/>
      <c r="D965" s="71"/>
    </row>
    <row r="966" customFormat="false" ht="15.75" hidden="false" customHeight="false" outlineLevel="0" collapsed="false">
      <c r="A966" s="69"/>
      <c r="B966" s="70"/>
      <c r="C966" s="71"/>
      <c r="D966" s="71"/>
    </row>
    <row r="967" customFormat="false" ht="15.75" hidden="false" customHeight="false" outlineLevel="0" collapsed="false">
      <c r="A967" s="69"/>
      <c r="B967" s="70"/>
      <c r="C967" s="71"/>
      <c r="D967" s="71"/>
    </row>
    <row r="968" customFormat="false" ht="15.75" hidden="false" customHeight="false" outlineLevel="0" collapsed="false">
      <c r="A968" s="69"/>
      <c r="B968" s="70"/>
      <c r="C968" s="71"/>
      <c r="D968" s="71"/>
    </row>
    <row r="969" customFormat="false" ht="15.75" hidden="false" customHeight="false" outlineLevel="0" collapsed="false">
      <c r="A969" s="69"/>
      <c r="B969" s="70"/>
      <c r="C969" s="71"/>
      <c r="D969" s="71"/>
    </row>
    <row r="970" customFormat="false" ht="15.75" hidden="false" customHeight="false" outlineLevel="0" collapsed="false">
      <c r="A970" s="69"/>
      <c r="B970" s="70"/>
      <c r="C970" s="71"/>
      <c r="D970" s="71"/>
    </row>
    <row r="971" customFormat="false" ht="15.75" hidden="false" customHeight="false" outlineLevel="0" collapsed="false">
      <c r="A971" s="69"/>
      <c r="B971" s="70"/>
      <c r="C971" s="71"/>
      <c r="D971" s="71"/>
    </row>
    <row r="972" customFormat="false" ht="15.75" hidden="false" customHeight="false" outlineLevel="0" collapsed="false">
      <c r="A972" s="69"/>
      <c r="B972" s="70"/>
      <c r="C972" s="71"/>
      <c r="D972" s="71"/>
    </row>
    <row r="973" customFormat="false" ht="15.75" hidden="false" customHeight="false" outlineLevel="0" collapsed="false">
      <c r="A973" s="69"/>
      <c r="B973" s="70"/>
      <c r="C973" s="71"/>
      <c r="D973" s="71"/>
    </row>
    <row r="974" customFormat="false" ht="15.75" hidden="false" customHeight="false" outlineLevel="0" collapsed="false">
      <c r="A974" s="69"/>
      <c r="B974" s="70"/>
      <c r="C974" s="71"/>
      <c r="D974" s="71"/>
    </row>
    <row r="975" customFormat="false" ht="15.75" hidden="false" customHeight="false" outlineLevel="0" collapsed="false">
      <c r="A975" s="69"/>
      <c r="B975" s="70"/>
      <c r="C975" s="71"/>
      <c r="D975" s="71"/>
    </row>
    <row r="976" customFormat="false" ht="15.75" hidden="false" customHeight="false" outlineLevel="0" collapsed="false">
      <c r="A976" s="69"/>
      <c r="B976" s="70"/>
      <c r="C976" s="71"/>
      <c r="D976" s="71"/>
    </row>
    <row r="977" customFormat="false" ht="15.75" hidden="false" customHeight="false" outlineLevel="0" collapsed="false">
      <c r="A977" s="69"/>
      <c r="B977" s="70"/>
      <c r="C977" s="71"/>
      <c r="D977" s="71"/>
    </row>
    <row r="978" customFormat="false" ht="15.75" hidden="false" customHeight="false" outlineLevel="0" collapsed="false">
      <c r="A978" s="69"/>
      <c r="B978" s="70"/>
      <c r="C978" s="71"/>
      <c r="D978" s="71"/>
    </row>
    <row r="979" customFormat="false" ht="15.75" hidden="false" customHeight="false" outlineLevel="0" collapsed="false">
      <c r="A979" s="69"/>
      <c r="B979" s="70"/>
      <c r="C979" s="71"/>
      <c r="D979" s="71"/>
    </row>
    <row r="980" customFormat="false" ht="15.75" hidden="false" customHeight="false" outlineLevel="0" collapsed="false">
      <c r="A980" s="69"/>
      <c r="B980" s="70"/>
      <c r="C980" s="71"/>
      <c r="D980" s="71"/>
    </row>
    <row r="981" customFormat="false" ht="15.75" hidden="false" customHeight="false" outlineLevel="0" collapsed="false">
      <c r="A981" s="69"/>
      <c r="B981" s="70"/>
      <c r="C981" s="71"/>
      <c r="D981" s="71"/>
    </row>
    <row r="982" customFormat="false" ht="15.75" hidden="false" customHeight="false" outlineLevel="0" collapsed="false">
      <c r="A982" s="69"/>
      <c r="B982" s="70"/>
      <c r="C982" s="71"/>
      <c r="D982" s="71"/>
    </row>
    <row r="983" customFormat="false" ht="15.75" hidden="false" customHeight="false" outlineLevel="0" collapsed="false">
      <c r="A983" s="69"/>
      <c r="B983" s="70"/>
      <c r="C983" s="71"/>
      <c r="D983" s="71"/>
    </row>
    <row r="984" customFormat="false" ht="15.75" hidden="false" customHeight="false" outlineLevel="0" collapsed="false">
      <c r="A984" s="69"/>
      <c r="B984" s="70"/>
      <c r="C984" s="71"/>
      <c r="D984" s="71"/>
    </row>
    <row r="985" customFormat="false" ht="15.75" hidden="false" customHeight="false" outlineLevel="0" collapsed="false">
      <c r="A985" s="69"/>
      <c r="B985" s="70"/>
      <c r="C985" s="71"/>
      <c r="D985" s="71"/>
    </row>
    <row r="986" customFormat="false" ht="15.75" hidden="false" customHeight="false" outlineLevel="0" collapsed="false">
      <c r="A986" s="69"/>
      <c r="B986" s="70"/>
      <c r="C986" s="71"/>
      <c r="D986" s="71"/>
    </row>
    <row r="987" customFormat="false" ht="15.75" hidden="false" customHeight="false" outlineLevel="0" collapsed="false">
      <c r="A987" s="69"/>
      <c r="B987" s="70"/>
      <c r="C987" s="71"/>
      <c r="D987" s="71"/>
    </row>
    <row r="988" customFormat="false" ht="15.75" hidden="false" customHeight="false" outlineLevel="0" collapsed="false">
      <c r="A988" s="69"/>
      <c r="B988" s="70"/>
      <c r="C988" s="71"/>
      <c r="D988" s="71"/>
    </row>
    <row r="989" customFormat="false" ht="15.75" hidden="false" customHeight="false" outlineLevel="0" collapsed="false">
      <c r="A989" s="69"/>
      <c r="B989" s="70"/>
      <c r="C989" s="71"/>
      <c r="D989" s="71"/>
    </row>
    <row r="990" customFormat="false" ht="15.75" hidden="false" customHeight="false" outlineLevel="0" collapsed="false">
      <c r="A990" s="69"/>
      <c r="B990" s="70"/>
      <c r="C990" s="71"/>
      <c r="D990" s="71"/>
    </row>
    <row r="991" customFormat="false" ht="15.75" hidden="false" customHeight="false" outlineLevel="0" collapsed="false">
      <c r="A991" s="69"/>
      <c r="B991" s="70"/>
      <c r="C991" s="71"/>
      <c r="D991" s="71"/>
    </row>
    <row r="992" customFormat="false" ht="15.75" hidden="false" customHeight="false" outlineLevel="0" collapsed="false">
      <c r="A992" s="69"/>
      <c r="B992" s="70"/>
      <c r="C992" s="71"/>
      <c r="D992" s="71"/>
    </row>
    <row r="993" customFormat="false" ht="15.75" hidden="false" customHeight="false" outlineLevel="0" collapsed="false">
      <c r="A993" s="69"/>
      <c r="B993" s="70"/>
      <c r="C993" s="71"/>
      <c r="D993" s="71"/>
    </row>
    <row r="994" customFormat="false" ht="15.75" hidden="false" customHeight="false" outlineLevel="0" collapsed="false">
      <c r="A994" s="69"/>
      <c r="B994" s="70"/>
      <c r="C994" s="71"/>
      <c r="D994" s="71"/>
    </row>
    <row r="995" customFormat="false" ht="15.75" hidden="false" customHeight="false" outlineLevel="0" collapsed="false">
      <c r="A995" s="69"/>
      <c r="B995" s="70"/>
      <c r="C995" s="71"/>
      <c r="D995" s="71"/>
    </row>
    <row r="996" customFormat="false" ht="15.75" hidden="false" customHeight="false" outlineLevel="0" collapsed="false">
      <c r="A996" s="69"/>
      <c r="B996" s="70"/>
      <c r="C996" s="71"/>
      <c r="D996" s="71"/>
    </row>
    <row r="997" customFormat="false" ht="15.75" hidden="false" customHeight="false" outlineLevel="0" collapsed="false">
      <c r="A997" s="69"/>
      <c r="B997" s="70"/>
      <c r="C997" s="71"/>
      <c r="D997" s="71"/>
    </row>
    <row r="998" customFormat="false" ht="15.75" hidden="false" customHeight="false" outlineLevel="0" collapsed="false">
      <c r="A998" s="69"/>
      <c r="B998" s="70"/>
      <c r="C998" s="71"/>
      <c r="D998" s="71"/>
    </row>
    <row r="999" customFormat="false" ht="15.75" hidden="false" customHeight="false" outlineLevel="0" collapsed="false">
      <c r="A999" s="69"/>
      <c r="B999" s="70"/>
      <c r="C999" s="71"/>
      <c r="D999" s="71"/>
    </row>
    <row r="1000" customFormat="false" ht="15.75" hidden="false" customHeight="false" outlineLevel="0" collapsed="false">
      <c r="A1000" s="69"/>
      <c r="B1000" s="70"/>
      <c r="C1000" s="71"/>
      <c r="D1000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8.63"/>
    <col collapsed="false" customWidth="true" hidden="false" outlineLevel="0" max="2" min="2" style="0" width="20.76"/>
    <col collapsed="false" customWidth="true" hidden="false" outlineLevel="0" max="3" min="3" style="0" width="5.01"/>
    <col collapsed="false" customWidth="true" hidden="true" outlineLevel="0" max="5" min="4" style="0" width="12.63"/>
    <col collapsed="false" customWidth="true" hidden="false" outlineLevel="0" max="1025" min="6" style="0" width="12.63"/>
  </cols>
  <sheetData>
    <row r="1" customFormat="false" ht="15.75" hidden="false" customHeight="false" outlineLevel="0" collapsed="false">
      <c r="A1" s="72" t="s">
        <v>789</v>
      </c>
      <c r="B1" s="73" t="s">
        <v>1</v>
      </c>
      <c r="C1" s="73"/>
      <c r="D1" s="73"/>
      <c r="E1" s="73" t="s">
        <v>4</v>
      </c>
      <c r="F1" s="74" t="s">
        <v>5</v>
      </c>
      <c r="G1" s="73" t="s">
        <v>6</v>
      </c>
      <c r="H1" s="75" t="s">
        <v>7</v>
      </c>
      <c r="I1" s="37" t="s">
        <v>790</v>
      </c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.75" hidden="false" customHeight="false" outlineLevel="0" collapsed="false">
      <c r="A3" s="72" t="s">
        <v>791</v>
      </c>
      <c r="B3" s="76" t="s">
        <v>792</v>
      </c>
      <c r="C3" s="76" t="n">
        <v>1</v>
      </c>
      <c r="D3" s="76" t="n">
        <f aca="false">597/36</f>
        <v>16.5833333333333</v>
      </c>
      <c r="E3" s="76" t="n">
        <f aca="false">597/36</f>
        <v>16.5833333333333</v>
      </c>
      <c r="F3" s="77" t="n">
        <f aca="false">SUM(E3:E10)</f>
        <v>83.4659563699826</v>
      </c>
      <c r="G3" s="76" t="n">
        <v>350</v>
      </c>
      <c r="H3" s="78" t="n">
        <f aca="false">(G3-F3)/F3*100</f>
        <v>319.332641979854</v>
      </c>
    </row>
    <row r="4" customFormat="false" ht="15.75" hidden="false" customHeight="false" outlineLevel="0" collapsed="false">
      <c r="A4" s="72"/>
      <c r="B4" s="76" t="s">
        <v>793</v>
      </c>
      <c r="C4" s="76" t="n">
        <v>90</v>
      </c>
      <c r="D4" s="76" t="n">
        <f aca="false">457.25/955*1000</f>
        <v>478.795811518325</v>
      </c>
      <c r="E4" s="76" t="n">
        <f aca="false">D4/1000*C4</f>
        <v>43.0916230366492</v>
      </c>
      <c r="F4" s="77"/>
      <c r="G4" s="77"/>
      <c r="H4" s="77"/>
    </row>
    <row r="5" customFormat="false" ht="15.75" hidden="false" customHeight="false" outlineLevel="0" collapsed="false">
      <c r="A5" s="72"/>
      <c r="B5" s="76" t="s">
        <v>794</v>
      </c>
      <c r="C5" s="76" t="n">
        <v>30</v>
      </c>
      <c r="D5" s="76" t="n">
        <v>275</v>
      </c>
      <c r="E5" s="76" t="n">
        <f aca="false">D5/1000*C5</f>
        <v>8.25</v>
      </c>
      <c r="F5" s="77"/>
      <c r="G5" s="77"/>
      <c r="H5" s="77"/>
    </row>
    <row r="6" customFormat="false" ht="15.75" hidden="false" customHeight="false" outlineLevel="0" collapsed="false">
      <c r="A6" s="72"/>
      <c r="B6" s="76" t="s">
        <v>795</v>
      </c>
      <c r="C6" s="76" t="n">
        <v>20</v>
      </c>
      <c r="D6" s="76" t="n">
        <v>558</v>
      </c>
      <c r="E6" s="76" t="n">
        <f aca="false">D6/1000*C6</f>
        <v>11.16</v>
      </c>
      <c r="F6" s="77"/>
      <c r="G6" s="77"/>
      <c r="H6" s="77"/>
    </row>
    <row r="7" customFormat="false" ht="15.75" hidden="false" customHeight="false" outlineLevel="0" collapsed="false">
      <c r="A7" s="72"/>
      <c r="B7" s="76" t="s">
        <v>796</v>
      </c>
      <c r="C7" s="76" t="n">
        <v>10</v>
      </c>
      <c r="D7" s="76" t="n">
        <v>438.1</v>
      </c>
      <c r="E7" s="76" t="n">
        <f aca="false">D7/1000*C7</f>
        <v>4.381</v>
      </c>
      <c r="F7" s="77"/>
      <c r="G7" s="77"/>
      <c r="H7" s="77"/>
    </row>
    <row r="8" customFormat="false" ht="15.75" hidden="false" customHeight="false" outlineLevel="0" collapsed="false">
      <c r="A8" s="72"/>
      <c r="B8" s="76"/>
      <c r="C8" s="76"/>
      <c r="D8" s="76"/>
      <c r="E8" s="76" t="n">
        <f aca="false">D8/1000*C8</f>
        <v>0</v>
      </c>
      <c r="F8" s="77"/>
      <c r="G8" s="77"/>
      <c r="H8" s="77"/>
    </row>
    <row r="9" customFormat="false" ht="15.75" hidden="false" customHeight="false" outlineLevel="0" collapsed="false">
      <c r="A9" s="72"/>
      <c r="B9" s="76"/>
      <c r="C9" s="76"/>
      <c r="D9" s="76"/>
      <c r="E9" s="76" t="n">
        <f aca="false">D9/1000*C9</f>
        <v>0</v>
      </c>
      <c r="F9" s="77"/>
      <c r="G9" s="77"/>
      <c r="H9" s="77"/>
    </row>
    <row r="10" customFormat="false" ht="14.25" hidden="false" customHeight="true" outlineLevel="0" collapsed="false">
      <c r="A10" s="72"/>
      <c r="B10" s="76"/>
      <c r="C10" s="76"/>
      <c r="D10" s="76"/>
      <c r="E10" s="76" t="n">
        <f aca="false">D10/1000*C10</f>
        <v>0</v>
      </c>
      <c r="F10" s="77"/>
      <c r="G10" s="77"/>
      <c r="H10" s="77"/>
    </row>
    <row r="11" customFormat="false" ht="15.75" hidden="false" customHeight="false" outlineLevel="0" collapsed="false">
      <c r="A11" s="72" t="s">
        <v>797</v>
      </c>
      <c r="B11" s="76" t="s">
        <v>792</v>
      </c>
      <c r="C11" s="76" t="n">
        <v>1</v>
      </c>
      <c r="D11" s="76" t="n">
        <f aca="false">597/36</f>
        <v>16.5833333333333</v>
      </c>
      <c r="E11" s="76" t="n">
        <f aca="false">597/36</f>
        <v>16.5833333333333</v>
      </c>
      <c r="F11" s="77" t="n">
        <f aca="false">SUM(E11:E18)</f>
        <v>76.4400961010434</v>
      </c>
      <c r="G11" s="76" t="n">
        <v>350</v>
      </c>
      <c r="H11" s="78" t="n">
        <f aca="false">(G11-F11)/F11*100</f>
        <v>357.87488223111</v>
      </c>
    </row>
    <row r="12" customFormat="false" ht="15.75" hidden="false" customHeight="false" outlineLevel="0" collapsed="false">
      <c r="A12" s="72"/>
      <c r="B12" s="76" t="s">
        <v>798</v>
      </c>
      <c r="C12" s="76" t="n">
        <v>90</v>
      </c>
      <c r="D12" s="76" t="n">
        <f aca="false">581.26/1214*1000</f>
        <v>478.797364085667</v>
      </c>
      <c r="E12" s="76" t="n">
        <f aca="false">D12/1000*C12</f>
        <v>43.0917627677101</v>
      </c>
      <c r="F12" s="77"/>
      <c r="G12" s="77"/>
      <c r="H12" s="77"/>
    </row>
    <row r="13" customFormat="false" ht="15.75" hidden="false" customHeight="false" outlineLevel="0" collapsed="false">
      <c r="A13" s="72"/>
      <c r="B13" s="76" t="s">
        <v>799</v>
      </c>
      <c r="C13" s="76" t="n">
        <v>40</v>
      </c>
      <c r="D13" s="76" t="n">
        <v>213.7</v>
      </c>
      <c r="E13" s="76" t="n">
        <f aca="false">D13/1000*C13</f>
        <v>8.548</v>
      </c>
      <c r="F13" s="77"/>
      <c r="G13" s="77"/>
      <c r="H13" s="77"/>
    </row>
    <row r="14" customFormat="false" ht="15.75" hidden="false" customHeight="false" outlineLevel="0" collapsed="false">
      <c r="A14" s="72"/>
      <c r="B14" s="76" t="s">
        <v>800</v>
      </c>
      <c r="C14" s="76" t="n">
        <v>20</v>
      </c>
      <c r="D14" s="76" t="n">
        <v>191.8</v>
      </c>
      <c r="E14" s="76" t="n">
        <f aca="false">D14/1000*C14</f>
        <v>3.836</v>
      </c>
      <c r="F14" s="77"/>
      <c r="G14" s="77"/>
      <c r="H14" s="77"/>
    </row>
    <row r="15" customFormat="false" ht="15.75" hidden="false" customHeight="false" outlineLevel="0" collapsed="false">
      <c r="A15" s="72"/>
      <c r="B15" s="76" t="s">
        <v>796</v>
      </c>
      <c r="C15" s="76" t="n">
        <v>10</v>
      </c>
      <c r="D15" s="76" t="n">
        <v>438.1</v>
      </c>
      <c r="E15" s="76" t="n">
        <f aca="false">D15/1000*C15</f>
        <v>4.381</v>
      </c>
      <c r="F15" s="77"/>
      <c r="G15" s="77"/>
      <c r="H15" s="77"/>
    </row>
    <row r="16" customFormat="false" ht="15.75" hidden="false" customHeight="false" outlineLevel="0" collapsed="false">
      <c r="A16" s="72"/>
      <c r="B16" s="76"/>
      <c r="C16" s="76"/>
      <c r="D16" s="76"/>
      <c r="E16" s="76" t="n">
        <f aca="false">D16/1000*C16</f>
        <v>0</v>
      </c>
      <c r="F16" s="77"/>
      <c r="G16" s="77"/>
      <c r="H16" s="77"/>
    </row>
    <row r="17" customFormat="false" ht="15.75" hidden="false" customHeight="false" outlineLevel="0" collapsed="false">
      <c r="A17" s="72"/>
      <c r="B17" s="76"/>
      <c r="C17" s="76"/>
      <c r="D17" s="76"/>
      <c r="E17" s="76" t="n">
        <f aca="false">D17/1000*C17</f>
        <v>0</v>
      </c>
      <c r="F17" s="77"/>
      <c r="G17" s="77"/>
      <c r="H17" s="77"/>
    </row>
    <row r="18" customFormat="false" ht="14.25" hidden="false" customHeight="true" outlineLevel="0" collapsed="false">
      <c r="A18" s="72"/>
      <c r="B18" s="76"/>
      <c r="C18" s="76"/>
      <c r="D18" s="76"/>
      <c r="E18" s="76" t="n">
        <f aca="false">D18/1000*C18</f>
        <v>0</v>
      </c>
      <c r="F18" s="77"/>
      <c r="G18" s="77"/>
      <c r="H18" s="77"/>
    </row>
    <row r="19" customFormat="false" ht="15.75" hidden="false" customHeight="false" outlineLevel="0" collapsed="false">
      <c r="A19" s="72" t="s">
        <v>801</v>
      </c>
      <c r="B19" s="76" t="s">
        <v>792</v>
      </c>
      <c r="C19" s="76" t="n">
        <v>1</v>
      </c>
      <c r="D19" s="76" t="n">
        <f aca="false">597/36</f>
        <v>16.5833333333333</v>
      </c>
      <c r="E19" s="76" t="n">
        <f aca="false">597/36</f>
        <v>16.5833333333333</v>
      </c>
      <c r="F19" s="77" t="n">
        <f aca="false">SUM(E19:E26)</f>
        <v>83.302545393741</v>
      </c>
      <c r="G19" s="76" t="n">
        <v>350</v>
      </c>
      <c r="H19" s="78" t="n">
        <f aca="false">(G19-F19)/F19*100</f>
        <v>320.155228565558</v>
      </c>
    </row>
    <row r="20" customFormat="false" ht="15.75" hidden="false" customHeight="false" outlineLevel="0" collapsed="false">
      <c r="A20" s="72"/>
      <c r="B20" s="76" t="s">
        <v>802</v>
      </c>
      <c r="C20" s="76" t="n">
        <v>90</v>
      </c>
      <c r="D20" s="76" t="n">
        <f aca="false">533.38/1114*1000</f>
        <v>478.797127468582</v>
      </c>
      <c r="E20" s="76" t="n">
        <f aca="false">D20/1000*C20</f>
        <v>43.0917414721724</v>
      </c>
      <c r="F20" s="77"/>
      <c r="G20" s="77"/>
      <c r="H20" s="77"/>
    </row>
    <row r="21" customFormat="false" ht="15.75" hidden="false" customHeight="false" outlineLevel="0" collapsed="false">
      <c r="A21" s="72"/>
      <c r="B21" s="76" t="s">
        <v>803</v>
      </c>
      <c r="C21" s="76" t="n">
        <v>20</v>
      </c>
      <c r="D21" s="76" t="n">
        <v>284.75</v>
      </c>
      <c r="E21" s="76" t="n">
        <f aca="false">D21/1000*C21</f>
        <v>5.695</v>
      </c>
      <c r="F21" s="77"/>
      <c r="G21" s="77"/>
      <c r="H21" s="77"/>
    </row>
    <row r="22" customFormat="false" ht="15.75" hidden="false" customHeight="false" outlineLevel="0" collapsed="false">
      <c r="A22" s="72"/>
      <c r="B22" s="76" t="s">
        <v>804</v>
      </c>
      <c r="C22" s="76" t="n">
        <v>20</v>
      </c>
      <c r="D22" s="76" t="n">
        <f aca="false">305/850*1000</f>
        <v>358.823529411765</v>
      </c>
      <c r="E22" s="76" t="n">
        <f aca="false">D22/1000*C22</f>
        <v>7.17647058823529</v>
      </c>
      <c r="F22" s="77"/>
      <c r="G22" s="77"/>
      <c r="H22" s="77"/>
    </row>
    <row r="23" customFormat="false" ht="15.75" hidden="false" customHeight="false" outlineLevel="0" collapsed="false">
      <c r="A23" s="72"/>
      <c r="B23" s="76" t="s">
        <v>805</v>
      </c>
      <c r="C23" s="76" t="n">
        <v>10</v>
      </c>
      <c r="D23" s="76" t="n">
        <v>637.5</v>
      </c>
      <c r="E23" s="76" t="n">
        <f aca="false">D23/1000*C23</f>
        <v>6.375</v>
      </c>
      <c r="F23" s="77"/>
      <c r="G23" s="77"/>
      <c r="H23" s="77"/>
    </row>
    <row r="24" customFormat="false" ht="15.75" hidden="false" customHeight="false" outlineLevel="0" collapsed="false">
      <c r="A24" s="72"/>
      <c r="B24" s="76" t="s">
        <v>796</v>
      </c>
      <c r="C24" s="76" t="n">
        <v>10</v>
      </c>
      <c r="D24" s="76" t="n">
        <v>438.1</v>
      </c>
      <c r="E24" s="76" t="n">
        <f aca="false">D24/1000*C24</f>
        <v>4.381</v>
      </c>
      <c r="F24" s="77"/>
      <c r="G24" s="77"/>
      <c r="H24" s="77"/>
    </row>
    <row r="25" customFormat="false" ht="15.75" hidden="false" customHeight="false" outlineLevel="0" collapsed="false">
      <c r="A25" s="72"/>
      <c r="B25" s="76"/>
      <c r="C25" s="76"/>
      <c r="D25" s="76"/>
      <c r="E25" s="76" t="n">
        <f aca="false">D25/1000*C25</f>
        <v>0</v>
      </c>
      <c r="F25" s="77"/>
      <c r="G25" s="77"/>
      <c r="H25" s="77"/>
    </row>
    <row r="26" customFormat="false" ht="14.25" hidden="false" customHeight="true" outlineLevel="0" collapsed="false">
      <c r="A26" s="72"/>
      <c r="B26" s="76"/>
      <c r="C26" s="76"/>
      <c r="D26" s="76"/>
      <c r="E26" s="76" t="n">
        <f aca="false">D26/1000*C26</f>
        <v>0</v>
      </c>
      <c r="F26" s="77"/>
      <c r="G26" s="77"/>
      <c r="H26" s="77"/>
    </row>
    <row r="27" customFormat="false" ht="15.75" hidden="false" customHeight="false" outlineLevel="0" collapsed="false">
      <c r="F27" s="79"/>
    </row>
    <row r="28" customFormat="false" ht="15.75" hidden="false" customHeight="false" outlineLevel="0" collapsed="false">
      <c r="F28" s="79"/>
    </row>
    <row r="29" customFormat="false" ht="15.75" hidden="false" customHeight="false" outlineLevel="0" collapsed="false">
      <c r="F29" s="79"/>
    </row>
    <row r="30" customFormat="false" ht="15.75" hidden="false" customHeight="false" outlineLevel="0" collapsed="false">
      <c r="F30" s="79"/>
    </row>
    <row r="31" customFormat="false" ht="15.75" hidden="false" customHeight="false" outlineLevel="0" collapsed="false">
      <c r="F31" s="79"/>
    </row>
    <row r="32" customFormat="false" ht="15.75" hidden="false" customHeight="false" outlineLevel="0" collapsed="false">
      <c r="F32" s="79"/>
    </row>
    <row r="33" customFormat="false" ht="15.75" hidden="false" customHeight="false" outlineLevel="0" collapsed="false">
      <c r="F33" s="79"/>
    </row>
    <row r="34" customFormat="false" ht="15.75" hidden="false" customHeight="false" outlineLevel="0" collapsed="false">
      <c r="F34" s="79"/>
    </row>
    <row r="35" customFormat="false" ht="15.75" hidden="false" customHeight="false" outlineLevel="0" collapsed="false">
      <c r="F35" s="79"/>
    </row>
    <row r="36" customFormat="false" ht="15.75" hidden="false" customHeight="false" outlineLevel="0" collapsed="false">
      <c r="F36" s="79"/>
    </row>
    <row r="37" customFormat="false" ht="15.75" hidden="false" customHeight="false" outlineLevel="0" collapsed="false">
      <c r="F37" s="79"/>
    </row>
    <row r="38" customFormat="false" ht="15.75" hidden="false" customHeight="false" outlineLevel="0" collapsed="false">
      <c r="F38" s="79"/>
    </row>
    <row r="39" customFormat="false" ht="15.75" hidden="false" customHeight="false" outlineLevel="0" collapsed="false">
      <c r="F39" s="79"/>
    </row>
    <row r="40" customFormat="false" ht="15.75" hidden="false" customHeight="false" outlineLevel="0" collapsed="false">
      <c r="F40" s="79"/>
    </row>
    <row r="41" customFormat="false" ht="15.75" hidden="false" customHeight="false" outlineLevel="0" collapsed="false">
      <c r="F41" s="79"/>
    </row>
    <row r="42" customFormat="false" ht="15.75" hidden="false" customHeight="false" outlineLevel="0" collapsed="false">
      <c r="F42" s="79"/>
    </row>
    <row r="43" customFormat="false" ht="15.75" hidden="false" customHeight="false" outlineLevel="0" collapsed="false">
      <c r="F43" s="79"/>
    </row>
    <row r="44" customFormat="false" ht="15.75" hidden="false" customHeight="false" outlineLevel="0" collapsed="false">
      <c r="F44" s="79"/>
    </row>
    <row r="45" customFormat="false" ht="15.75" hidden="false" customHeight="false" outlineLevel="0" collapsed="false">
      <c r="F45" s="79"/>
    </row>
    <row r="46" customFormat="false" ht="15.75" hidden="false" customHeight="false" outlineLevel="0" collapsed="false">
      <c r="F46" s="79"/>
    </row>
    <row r="47" customFormat="false" ht="15.75" hidden="false" customHeight="false" outlineLevel="0" collapsed="false">
      <c r="F47" s="79"/>
    </row>
    <row r="48" customFormat="false" ht="15.75" hidden="false" customHeight="false" outlineLevel="0" collapsed="false">
      <c r="F48" s="79"/>
    </row>
    <row r="49" customFormat="false" ht="15.75" hidden="false" customHeight="false" outlineLevel="0" collapsed="false">
      <c r="F49" s="79"/>
    </row>
    <row r="50" customFormat="false" ht="15.75" hidden="false" customHeight="false" outlineLevel="0" collapsed="false">
      <c r="F50" s="79"/>
    </row>
    <row r="51" customFormat="false" ht="15.75" hidden="false" customHeight="false" outlineLevel="0" collapsed="false">
      <c r="F51" s="79"/>
    </row>
    <row r="52" customFormat="false" ht="15.75" hidden="false" customHeight="false" outlineLevel="0" collapsed="false">
      <c r="F52" s="79"/>
    </row>
    <row r="53" customFormat="false" ht="15.75" hidden="false" customHeight="false" outlineLevel="0" collapsed="false">
      <c r="F53" s="79"/>
    </row>
    <row r="54" customFormat="false" ht="15.75" hidden="false" customHeight="false" outlineLevel="0" collapsed="false">
      <c r="F54" s="79"/>
    </row>
    <row r="55" customFormat="false" ht="15.75" hidden="false" customHeight="false" outlineLevel="0" collapsed="false">
      <c r="F55" s="79"/>
    </row>
    <row r="56" customFormat="false" ht="15.75" hidden="false" customHeight="false" outlineLevel="0" collapsed="false">
      <c r="F56" s="79"/>
    </row>
    <row r="57" customFormat="false" ht="15.75" hidden="false" customHeight="false" outlineLevel="0" collapsed="false">
      <c r="F57" s="79"/>
    </row>
    <row r="58" customFormat="false" ht="15.75" hidden="false" customHeight="false" outlineLevel="0" collapsed="false">
      <c r="F58" s="79"/>
    </row>
    <row r="59" customFormat="false" ht="15.75" hidden="false" customHeight="false" outlineLevel="0" collapsed="false">
      <c r="F59" s="79"/>
    </row>
    <row r="60" customFormat="false" ht="15.75" hidden="false" customHeight="false" outlineLevel="0" collapsed="false">
      <c r="F60" s="79"/>
    </row>
    <row r="61" customFormat="false" ht="15.75" hidden="false" customHeight="false" outlineLevel="0" collapsed="false">
      <c r="F61" s="79"/>
    </row>
    <row r="62" customFormat="false" ht="15.75" hidden="false" customHeight="false" outlineLevel="0" collapsed="false">
      <c r="F62" s="79"/>
    </row>
    <row r="63" customFormat="false" ht="15.75" hidden="false" customHeight="false" outlineLevel="0" collapsed="false">
      <c r="F63" s="79"/>
    </row>
    <row r="64" customFormat="false" ht="15.75" hidden="false" customHeight="false" outlineLevel="0" collapsed="false">
      <c r="F64" s="79"/>
    </row>
    <row r="65" customFormat="false" ht="15.75" hidden="false" customHeight="false" outlineLevel="0" collapsed="false">
      <c r="F65" s="79"/>
    </row>
    <row r="66" customFormat="false" ht="15.75" hidden="false" customHeight="false" outlineLevel="0" collapsed="false">
      <c r="F66" s="79"/>
    </row>
    <row r="67" customFormat="false" ht="15.75" hidden="false" customHeight="false" outlineLevel="0" collapsed="false">
      <c r="F67" s="79"/>
    </row>
    <row r="68" customFormat="false" ht="15.75" hidden="false" customHeight="false" outlineLevel="0" collapsed="false">
      <c r="F68" s="79"/>
    </row>
    <row r="69" customFormat="false" ht="15.75" hidden="false" customHeight="false" outlineLevel="0" collapsed="false">
      <c r="F69" s="79"/>
    </row>
    <row r="70" customFormat="false" ht="15.75" hidden="false" customHeight="false" outlineLevel="0" collapsed="false">
      <c r="F70" s="79"/>
    </row>
    <row r="71" customFormat="false" ht="15.75" hidden="false" customHeight="false" outlineLevel="0" collapsed="false">
      <c r="F71" s="79"/>
    </row>
    <row r="72" customFormat="false" ht="15.75" hidden="false" customHeight="false" outlineLevel="0" collapsed="false">
      <c r="F72" s="79"/>
    </row>
    <row r="73" customFormat="false" ht="15.75" hidden="false" customHeight="false" outlineLevel="0" collapsed="false">
      <c r="F73" s="79"/>
    </row>
    <row r="74" customFormat="false" ht="15.75" hidden="false" customHeight="false" outlineLevel="0" collapsed="false">
      <c r="F74" s="79"/>
    </row>
    <row r="75" customFormat="false" ht="15.75" hidden="false" customHeight="false" outlineLevel="0" collapsed="false">
      <c r="F75" s="79"/>
    </row>
    <row r="76" customFormat="false" ht="15.75" hidden="false" customHeight="false" outlineLevel="0" collapsed="false">
      <c r="F76" s="79"/>
    </row>
    <row r="77" customFormat="false" ht="15.75" hidden="false" customHeight="false" outlineLevel="0" collapsed="false">
      <c r="F77" s="79"/>
    </row>
    <row r="78" customFormat="false" ht="15.75" hidden="false" customHeight="false" outlineLevel="0" collapsed="false">
      <c r="F78" s="79"/>
    </row>
    <row r="79" customFormat="false" ht="15.75" hidden="false" customHeight="false" outlineLevel="0" collapsed="false">
      <c r="F79" s="79"/>
    </row>
    <row r="80" customFormat="false" ht="15.75" hidden="false" customHeight="false" outlineLevel="0" collapsed="false">
      <c r="F80" s="79"/>
    </row>
    <row r="81" customFormat="false" ht="15.75" hidden="false" customHeight="false" outlineLevel="0" collapsed="false">
      <c r="F81" s="79"/>
    </row>
    <row r="82" customFormat="false" ht="15.75" hidden="false" customHeight="false" outlineLevel="0" collapsed="false">
      <c r="F82" s="79"/>
    </row>
    <row r="83" customFormat="false" ht="15.75" hidden="false" customHeight="false" outlineLevel="0" collapsed="false">
      <c r="F83" s="79"/>
    </row>
    <row r="84" customFormat="false" ht="15.75" hidden="false" customHeight="false" outlineLevel="0" collapsed="false">
      <c r="F84" s="79"/>
    </row>
    <row r="85" customFormat="false" ht="15.75" hidden="false" customHeight="false" outlineLevel="0" collapsed="false">
      <c r="F85" s="79"/>
    </row>
    <row r="86" customFormat="false" ht="15.75" hidden="false" customHeight="false" outlineLevel="0" collapsed="false">
      <c r="F86" s="79"/>
    </row>
    <row r="87" customFormat="false" ht="15.75" hidden="false" customHeight="false" outlineLevel="0" collapsed="false">
      <c r="F87" s="79"/>
    </row>
    <row r="88" customFormat="false" ht="15.75" hidden="false" customHeight="false" outlineLevel="0" collapsed="false">
      <c r="F88" s="79"/>
    </row>
    <row r="89" customFormat="false" ht="15.75" hidden="false" customHeight="false" outlineLevel="0" collapsed="false">
      <c r="F89" s="79"/>
    </row>
    <row r="90" customFormat="false" ht="15.75" hidden="false" customHeight="false" outlineLevel="0" collapsed="false">
      <c r="F90" s="79"/>
    </row>
    <row r="91" customFormat="false" ht="15.75" hidden="false" customHeight="false" outlineLevel="0" collapsed="false">
      <c r="F91" s="79"/>
    </row>
    <row r="92" customFormat="false" ht="15.75" hidden="false" customHeight="false" outlineLevel="0" collapsed="false">
      <c r="F92" s="79"/>
    </row>
    <row r="93" customFormat="false" ht="15.75" hidden="false" customHeight="false" outlineLevel="0" collapsed="false">
      <c r="F93" s="79"/>
    </row>
    <row r="94" customFormat="false" ht="15.75" hidden="false" customHeight="false" outlineLevel="0" collapsed="false">
      <c r="F94" s="79"/>
    </row>
    <row r="95" customFormat="false" ht="15.75" hidden="false" customHeight="false" outlineLevel="0" collapsed="false">
      <c r="F95" s="79"/>
    </row>
    <row r="96" customFormat="false" ht="15.75" hidden="false" customHeight="false" outlineLevel="0" collapsed="false">
      <c r="F96" s="79"/>
    </row>
    <row r="97" customFormat="false" ht="15.75" hidden="false" customHeight="false" outlineLevel="0" collapsed="false">
      <c r="F97" s="79"/>
    </row>
    <row r="98" customFormat="false" ht="15.75" hidden="false" customHeight="false" outlineLevel="0" collapsed="false">
      <c r="F98" s="79"/>
    </row>
    <row r="99" customFormat="false" ht="15.75" hidden="false" customHeight="false" outlineLevel="0" collapsed="false">
      <c r="F99" s="79"/>
    </row>
    <row r="100" customFormat="false" ht="15.75" hidden="false" customHeight="false" outlineLevel="0" collapsed="false">
      <c r="F100" s="79"/>
    </row>
    <row r="101" customFormat="false" ht="15.75" hidden="false" customHeight="false" outlineLevel="0" collapsed="false">
      <c r="F101" s="79"/>
    </row>
    <row r="102" customFormat="false" ht="15.75" hidden="false" customHeight="false" outlineLevel="0" collapsed="false">
      <c r="F102" s="79"/>
    </row>
    <row r="103" customFormat="false" ht="15.75" hidden="false" customHeight="false" outlineLevel="0" collapsed="false">
      <c r="F103" s="79"/>
    </row>
    <row r="104" customFormat="false" ht="15.75" hidden="false" customHeight="false" outlineLevel="0" collapsed="false">
      <c r="F104" s="79"/>
    </row>
    <row r="105" customFormat="false" ht="15.75" hidden="false" customHeight="false" outlineLevel="0" collapsed="false">
      <c r="F105" s="79"/>
    </row>
    <row r="106" customFormat="false" ht="15.75" hidden="false" customHeight="false" outlineLevel="0" collapsed="false">
      <c r="F106" s="79"/>
    </row>
    <row r="107" customFormat="false" ht="15.75" hidden="false" customHeight="false" outlineLevel="0" collapsed="false">
      <c r="F107" s="79"/>
    </row>
    <row r="108" customFormat="false" ht="15.75" hidden="false" customHeight="false" outlineLevel="0" collapsed="false">
      <c r="F108" s="79"/>
    </row>
    <row r="109" customFormat="false" ht="15.75" hidden="false" customHeight="false" outlineLevel="0" collapsed="false">
      <c r="F109" s="79"/>
    </row>
    <row r="110" customFormat="false" ht="15.75" hidden="false" customHeight="false" outlineLevel="0" collapsed="false">
      <c r="F110" s="79"/>
    </row>
    <row r="111" customFormat="false" ht="15.75" hidden="false" customHeight="false" outlineLevel="0" collapsed="false">
      <c r="F111" s="79"/>
    </row>
    <row r="112" customFormat="false" ht="15.75" hidden="false" customHeight="false" outlineLevel="0" collapsed="false">
      <c r="F112" s="79"/>
    </row>
    <row r="113" customFormat="false" ht="15.75" hidden="false" customHeight="false" outlineLevel="0" collapsed="false">
      <c r="F113" s="79"/>
    </row>
    <row r="114" customFormat="false" ht="15.75" hidden="false" customHeight="false" outlineLevel="0" collapsed="false">
      <c r="F114" s="79"/>
    </row>
    <row r="115" customFormat="false" ht="15.75" hidden="false" customHeight="false" outlineLevel="0" collapsed="false">
      <c r="F115" s="79"/>
    </row>
    <row r="116" customFormat="false" ht="15.75" hidden="false" customHeight="false" outlineLevel="0" collapsed="false">
      <c r="F116" s="79"/>
    </row>
    <row r="117" customFormat="false" ht="15.75" hidden="false" customHeight="false" outlineLevel="0" collapsed="false">
      <c r="F117" s="79"/>
    </row>
    <row r="118" customFormat="false" ht="15.75" hidden="false" customHeight="false" outlineLevel="0" collapsed="false">
      <c r="F118" s="79"/>
    </row>
    <row r="119" customFormat="false" ht="15.75" hidden="false" customHeight="false" outlineLevel="0" collapsed="false">
      <c r="F119" s="79"/>
    </row>
    <row r="120" customFormat="false" ht="15.75" hidden="false" customHeight="false" outlineLevel="0" collapsed="false">
      <c r="F120" s="79"/>
    </row>
    <row r="121" customFormat="false" ht="15.75" hidden="false" customHeight="false" outlineLevel="0" collapsed="false">
      <c r="F121" s="79"/>
    </row>
    <row r="122" customFormat="false" ht="15.75" hidden="false" customHeight="false" outlineLevel="0" collapsed="false">
      <c r="F122" s="79"/>
    </row>
    <row r="123" customFormat="false" ht="15.75" hidden="false" customHeight="false" outlineLevel="0" collapsed="false">
      <c r="F123" s="79"/>
    </row>
    <row r="124" customFormat="false" ht="15.75" hidden="false" customHeight="false" outlineLevel="0" collapsed="false">
      <c r="F124" s="79"/>
    </row>
    <row r="125" customFormat="false" ht="15.75" hidden="false" customHeight="false" outlineLevel="0" collapsed="false">
      <c r="F125" s="79"/>
    </row>
    <row r="126" customFormat="false" ht="15.75" hidden="false" customHeight="false" outlineLevel="0" collapsed="false">
      <c r="F126" s="79"/>
    </row>
    <row r="127" customFormat="false" ht="15.75" hidden="false" customHeight="false" outlineLevel="0" collapsed="false">
      <c r="F127" s="79"/>
    </row>
    <row r="128" customFormat="false" ht="15.75" hidden="false" customHeight="false" outlineLevel="0" collapsed="false">
      <c r="F128" s="79"/>
    </row>
    <row r="129" customFormat="false" ht="15.75" hidden="false" customHeight="false" outlineLevel="0" collapsed="false">
      <c r="F129" s="79"/>
    </row>
    <row r="130" customFormat="false" ht="15.75" hidden="false" customHeight="false" outlineLevel="0" collapsed="false">
      <c r="F130" s="79"/>
    </row>
    <row r="131" customFormat="false" ht="15.75" hidden="false" customHeight="false" outlineLevel="0" collapsed="false">
      <c r="F131" s="79"/>
    </row>
    <row r="132" customFormat="false" ht="15.75" hidden="false" customHeight="false" outlineLevel="0" collapsed="false">
      <c r="F132" s="79"/>
    </row>
    <row r="133" customFormat="false" ht="15.75" hidden="false" customHeight="false" outlineLevel="0" collapsed="false">
      <c r="F133" s="79"/>
    </row>
    <row r="134" customFormat="false" ht="15.75" hidden="false" customHeight="false" outlineLevel="0" collapsed="false">
      <c r="F134" s="79"/>
    </row>
    <row r="135" customFormat="false" ht="15.75" hidden="false" customHeight="false" outlineLevel="0" collapsed="false">
      <c r="F135" s="79"/>
    </row>
    <row r="136" customFormat="false" ht="15.75" hidden="false" customHeight="false" outlineLevel="0" collapsed="false">
      <c r="F136" s="79"/>
    </row>
    <row r="137" customFormat="false" ht="15.75" hidden="false" customHeight="false" outlineLevel="0" collapsed="false">
      <c r="F137" s="79"/>
    </row>
    <row r="138" customFormat="false" ht="15.75" hidden="false" customHeight="false" outlineLevel="0" collapsed="false">
      <c r="F138" s="79"/>
    </row>
    <row r="139" customFormat="false" ht="15.75" hidden="false" customHeight="false" outlineLevel="0" collapsed="false">
      <c r="F139" s="79"/>
    </row>
    <row r="140" customFormat="false" ht="15.75" hidden="false" customHeight="false" outlineLevel="0" collapsed="false">
      <c r="F140" s="79"/>
    </row>
    <row r="141" customFormat="false" ht="15.75" hidden="false" customHeight="false" outlineLevel="0" collapsed="false">
      <c r="F141" s="79"/>
    </row>
    <row r="142" customFormat="false" ht="15.75" hidden="false" customHeight="false" outlineLevel="0" collapsed="false">
      <c r="F142" s="79"/>
    </row>
    <row r="143" customFormat="false" ht="15.75" hidden="false" customHeight="false" outlineLevel="0" collapsed="false">
      <c r="F143" s="79"/>
    </row>
    <row r="144" customFormat="false" ht="15.75" hidden="false" customHeight="false" outlineLevel="0" collapsed="false">
      <c r="F144" s="79"/>
    </row>
    <row r="145" customFormat="false" ht="15.75" hidden="false" customHeight="false" outlineLevel="0" collapsed="false">
      <c r="F145" s="79"/>
    </row>
    <row r="146" customFormat="false" ht="15.75" hidden="false" customHeight="false" outlineLevel="0" collapsed="false">
      <c r="F146" s="79"/>
    </row>
    <row r="147" customFormat="false" ht="15.75" hidden="false" customHeight="false" outlineLevel="0" collapsed="false">
      <c r="F147" s="79"/>
    </row>
    <row r="148" customFormat="false" ht="15.75" hidden="false" customHeight="false" outlineLevel="0" collapsed="false">
      <c r="F148" s="79"/>
    </row>
    <row r="149" customFormat="false" ht="15.75" hidden="false" customHeight="false" outlineLevel="0" collapsed="false">
      <c r="F149" s="79"/>
    </row>
    <row r="150" customFormat="false" ht="15.75" hidden="false" customHeight="false" outlineLevel="0" collapsed="false">
      <c r="F150" s="79"/>
    </row>
    <row r="151" customFormat="false" ht="15.75" hidden="false" customHeight="false" outlineLevel="0" collapsed="false">
      <c r="F151" s="79"/>
    </row>
    <row r="152" customFormat="false" ht="15.75" hidden="false" customHeight="false" outlineLevel="0" collapsed="false">
      <c r="F152" s="79"/>
    </row>
    <row r="153" customFormat="false" ht="15.75" hidden="false" customHeight="false" outlineLevel="0" collapsed="false">
      <c r="F153" s="79"/>
    </row>
    <row r="154" customFormat="false" ht="15.75" hidden="false" customHeight="false" outlineLevel="0" collapsed="false">
      <c r="F154" s="79"/>
    </row>
    <row r="155" customFormat="false" ht="15.75" hidden="false" customHeight="false" outlineLevel="0" collapsed="false">
      <c r="F155" s="79"/>
    </row>
    <row r="156" customFormat="false" ht="15.75" hidden="false" customHeight="false" outlineLevel="0" collapsed="false">
      <c r="F156" s="79"/>
    </row>
    <row r="157" customFormat="false" ht="15.75" hidden="false" customHeight="false" outlineLevel="0" collapsed="false">
      <c r="F157" s="79"/>
    </row>
    <row r="158" customFormat="false" ht="15.75" hidden="false" customHeight="false" outlineLevel="0" collapsed="false">
      <c r="F158" s="79"/>
    </row>
    <row r="159" customFormat="false" ht="15.75" hidden="false" customHeight="false" outlineLevel="0" collapsed="false">
      <c r="F159" s="79"/>
    </row>
    <row r="160" customFormat="false" ht="15.75" hidden="false" customHeight="false" outlineLevel="0" collapsed="false">
      <c r="F160" s="79"/>
    </row>
    <row r="161" customFormat="false" ht="15.75" hidden="false" customHeight="false" outlineLevel="0" collapsed="false">
      <c r="F161" s="79"/>
    </row>
    <row r="162" customFormat="false" ht="15.75" hidden="false" customHeight="false" outlineLevel="0" collapsed="false">
      <c r="F162" s="79"/>
    </row>
    <row r="163" customFormat="false" ht="15.75" hidden="false" customHeight="false" outlineLevel="0" collapsed="false">
      <c r="F163" s="79"/>
    </row>
    <row r="164" customFormat="false" ht="15.75" hidden="false" customHeight="false" outlineLevel="0" collapsed="false">
      <c r="F164" s="79"/>
    </row>
    <row r="165" customFormat="false" ht="15.75" hidden="false" customHeight="false" outlineLevel="0" collapsed="false">
      <c r="F165" s="79"/>
    </row>
    <row r="166" customFormat="false" ht="15.75" hidden="false" customHeight="false" outlineLevel="0" collapsed="false">
      <c r="F166" s="79"/>
    </row>
    <row r="167" customFormat="false" ht="15.75" hidden="false" customHeight="false" outlineLevel="0" collapsed="false">
      <c r="F167" s="79"/>
    </row>
    <row r="168" customFormat="false" ht="15.75" hidden="false" customHeight="false" outlineLevel="0" collapsed="false">
      <c r="F168" s="79"/>
    </row>
    <row r="169" customFormat="false" ht="15.75" hidden="false" customHeight="false" outlineLevel="0" collapsed="false">
      <c r="F169" s="79"/>
    </row>
    <row r="170" customFormat="false" ht="15.75" hidden="false" customHeight="false" outlineLevel="0" collapsed="false">
      <c r="F170" s="79"/>
    </row>
    <row r="171" customFormat="false" ht="15.75" hidden="false" customHeight="false" outlineLevel="0" collapsed="false">
      <c r="F171" s="79"/>
    </row>
    <row r="172" customFormat="false" ht="15.75" hidden="false" customHeight="false" outlineLevel="0" collapsed="false">
      <c r="F172" s="79"/>
    </row>
    <row r="173" customFormat="false" ht="15.75" hidden="false" customHeight="false" outlineLevel="0" collapsed="false">
      <c r="F173" s="79"/>
    </row>
    <row r="174" customFormat="false" ht="15.75" hidden="false" customHeight="false" outlineLevel="0" collapsed="false">
      <c r="F174" s="79"/>
    </row>
    <row r="175" customFormat="false" ht="15.75" hidden="false" customHeight="false" outlineLevel="0" collapsed="false">
      <c r="F175" s="79"/>
    </row>
    <row r="176" customFormat="false" ht="15.75" hidden="false" customHeight="false" outlineLevel="0" collapsed="false">
      <c r="F176" s="79"/>
    </row>
    <row r="177" customFormat="false" ht="15.75" hidden="false" customHeight="false" outlineLevel="0" collapsed="false">
      <c r="F177" s="79"/>
    </row>
    <row r="178" customFormat="false" ht="15.75" hidden="false" customHeight="false" outlineLevel="0" collapsed="false">
      <c r="F178" s="79"/>
    </row>
    <row r="179" customFormat="false" ht="15.75" hidden="false" customHeight="false" outlineLevel="0" collapsed="false">
      <c r="F179" s="79"/>
    </row>
    <row r="180" customFormat="false" ht="15.75" hidden="false" customHeight="false" outlineLevel="0" collapsed="false">
      <c r="F180" s="79"/>
    </row>
    <row r="181" customFormat="false" ht="15.75" hidden="false" customHeight="false" outlineLevel="0" collapsed="false">
      <c r="F181" s="79"/>
    </row>
    <row r="182" customFormat="false" ht="15.75" hidden="false" customHeight="false" outlineLevel="0" collapsed="false">
      <c r="F182" s="79"/>
    </row>
    <row r="183" customFormat="false" ht="15.75" hidden="false" customHeight="false" outlineLevel="0" collapsed="false">
      <c r="F183" s="79"/>
    </row>
    <row r="184" customFormat="false" ht="15.75" hidden="false" customHeight="false" outlineLevel="0" collapsed="false">
      <c r="F184" s="79"/>
    </row>
    <row r="185" customFormat="false" ht="15.75" hidden="false" customHeight="false" outlineLevel="0" collapsed="false">
      <c r="F185" s="79"/>
    </row>
    <row r="186" customFormat="false" ht="15.75" hidden="false" customHeight="false" outlineLevel="0" collapsed="false">
      <c r="F186" s="79"/>
    </row>
    <row r="187" customFormat="false" ht="15.75" hidden="false" customHeight="false" outlineLevel="0" collapsed="false">
      <c r="F187" s="79"/>
    </row>
    <row r="188" customFormat="false" ht="15.75" hidden="false" customHeight="false" outlineLevel="0" collapsed="false">
      <c r="F188" s="79"/>
    </row>
    <row r="189" customFormat="false" ht="15.75" hidden="false" customHeight="false" outlineLevel="0" collapsed="false">
      <c r="F189" s="79"/>
    </row>
    <row r="190" customFormat="false" ht="15.75" hidden="false" customHeight="false" outlineLevel="0" collapsed="false">
      <c r="F190" s="79"/>
    </row>
    <row r="191" customFormat="false" ht="15.75" hidden="false" customHeight="false" outlineLevel="0" collapsed="false">
      <c r="F191" s="79"/>
    </row>
    <row r="192" customFormat="false" ht="15.75" hidden="false" customHeight="false" outlineLevel="0" collapsed="false">
      <c r="F192" s="79"/>
    </row>
    <row r="193" customFormat="false" ht="15.75" hidden="false" customHeight="false" outlineLevel="0" collapsed="false">
      <c r="F193" s="79"/>
    </row>
    <row r="194" customFormat="false" ht="15.75" hidden="false" customHeight="false" outlineLevel="0" collapsed="false">
      <c r="F194" s="79"/>
    </row>
    <row r="195" customFormat="false" ht="15.75" hidden="false" customHeight="false" outlineLevel="0" collapsed="false">
      <c r="F195" s="79"/>
    </row>
    <row r="196" customFormat="false" ht="15.75" hidden="false" customHeight="false" outlineLevel="0" collapsed="false">
      <c r="F196" s="79"/>
    </row>
    <row r="197" customFormat="false" ht="15.75" hidden="false" customHeight="false" outlineLevel="0" collapsed="false">
      <c r="F197" s="79"/>
    </row>
    <row r="198" customFormat="false" ht="15.75" hidden="false" customHeight="false" outlineLevel="0" collapsed="false">
      <c r="F198" s="79"/>
    </row>
    <row r="199" customFormat="false" ht="15.75" hidden="false" customHeight="false" outlineLevel="0" collapsed="false">
      <c r="F199" s="79"/>
    </row>
    <row r="200" customFormat="false" ht="15.75" hidden="false" customHeight="false" outlineLevel="0" collapsed="false">
      <c r="F200" s="79"/>
    </row>
    <row r="201" customFormat="false" ht="15.75" hidden="false" customHeight="false" outlineLevel="0" collapsed="false">
      <c r="F201" s="79"/>
    </row>
    <row r="202" customFormat="false" ht="15.75" hidden="false" customHeight="false" outlineLevel="0" collapsed="false">
      <c r="F202" s="79"/>
    </row>
    <row r="203" customFormat="false" ht="15.75" hidden="false" customHeight="false" outlineLevel="0" collapsed="false">
      <c r="F203" s="79"/>
    </row>
    <row r="204" customFormat="false" ht="15.75" hidden="false" customHeight="false" outlineLevel="0" collapsed="false">
      <c r="F204" s="79"/>
    </row>
    <row r="205" customFormat="false" ht="15.75" hidden="false" customHeight="false" outlineLevel="0" collapsed="false">
      <c r="F205" s="79"/>
    </row>
    <row r="206" customFormat="false" ht="15.75" hidden="false" customHeight="false" outlineLevel="0" collapsed="false">
      <c r="F206" s="79"/>
    </row>
    <row r="207" customFormat="false" ht="15.75" hidden="false" customHeight="false" outlineLevel="0" collapsed="false">
      <c r="F207" s="79"/>
    </row>
    <row r="208" customFormat="false" ht="15.75" hidden="false" customHeight="false" outlineLevel="0" collapsed="false">
      <c r="F208" s="79"/>
    </row>
    <row r="209" customFormat="false" ht="15.75" hidden="false" customHeight="false" outlineLevel="0" collapsed="false">
      <c r="F209" s="79"/>
    </row>
    <row r="210" customFormat="false" ht="15.75" hidden="false" customHeight="false" outlineLevel="0" collapsed="false">
      <c r="F210" s="79"/>
    </row>
    <row r="211" customFormat="false" ht="15.75" hidden="false" customHeight="false" outlineLevel="0" collapsed="false">
      <c r="F211" s="79"/>
    </row>
    <row r="212" customFormat="false" ht="15.75" hidden="false" customHeight="false" outlineLevel="0" collapsed="false">
      <c r="F212" s="79"/>
    </row>
    <row r="213" customFormat="false" ht="15.75" hidden="false" customHeight="false" outlineLevel="0" collapsed="false">
      <c r="F213" s="79"/>
    </row>
    <row r="214" customFormat="false" ht="15.75" hidden="false" customHeight="false" outlineLevel="0" collapsed="false">
      <c r="F214" s="79"/>
    </row>
    <row r="215" customFormat="false" ht="15.75" hidden="false" customHeight="false" outlineLevel="0" collapsed="false">
      <c r="F215" s="79"/>
    </row>
    <row r="216" customFormat="false" ht="15.75" hidden="false" customHeight="false" outlineLevel="0" collapsed="false">
      <c r="F216" s="79"/>
    </row>
    <row r="217" customFormat="false" ht="15.75" hidden="false" customHeight="false" outlineLevel="0" collapsed="false">
      <c r="F217" s="79"/>
    </row>
    <row r="218" customFormat="false" ht="15.75" hidden="false" customHeight="false" outlineLevel="0" collapsed="false">
      <c r="F218" s="79"/>
    </row>
    <row r="219" customFormat="false" ht="15.75" hidden="false" customHeight="false" outlineLevel="0" collapsed="false">
      <c r="F219" s="79"/>
    </row>
    <row r="220" customFormat="false" ht="15.75" hidden="false" customHeight="false" outlineLevel="0" collapsed="false">
      <c r="F220" s="79"/>
    </row>
    <row r="221" customFormat="false" ht="15.75" hidden="false" customHeight="false" outlineLevel="0" collapsed="false">
      <c r="F221" s="79"/>
    </row>
    <row r="222" customFormat="false" ht="15.75" hidden="false" customHeight="false" outlineLevel="0" collapsed="false">
      <c r="F222" s="79"/>
    </row>
    <row r="223" customFormat="false" ht="15.75" hidden="false" customHeight="false" outlineLevel="0" collapsed="false">
      <c r="F223" s="79"/>
    </row>
    <row r="224" customFormat="false" ht="15.75" hidden="false" customHeight="false" outlineLevel="0" collapsed="false">
      <c r="F224" s="79"/>
    </row>
    <row r="225" customFormat="false" ht="15.75" hidden="false" customHeight="false" outlineLevel="0" collapsed="false">
      <c r="F225" s="79"/>
    </row>
    <row r="226" customFormat="false" ht="15.75" hidden="false" customHeight="false" outlineLevel="0" collapsed="false">
      <c r="F226" s="79"/>
    </row>
    <row r="227" customFormat="false" ht="15.75" hidden="false" customHeight="false" outlineLevel="0" collapsed="false">
      <c r="F227" s="79"/>
    </row>
    <row r="228" customFormat="false" ht="15.75" hidden="false" customHeight="false" outlineLevel="0" collapsed="false">
      <c r="F228" s="79"/>
    </row>
    <row r="229" customFormat="false" ht="15.75" hidden="false" customHeight="false" outlineLevel="0" collapsed="false">
      <c r="F229" s="79"/>
    </row>
    <row r="230" customFormat="false" ht="15.75" hidden="false" customHeight="false" outlineLevel="0" collapsed="false">
      <c r="F230" s="79"/>
    </row>
    <row r="231" customFormat="false" ht="15.75" hidden="false" customHeight="false" outlineLevel="0" collapsed="false">
      <c r="F231" s="79"/>
    </row>
    <row r="232" customFormat="false" ht="15.75" hidden="false" customHeight="false" outlineLevel="0" collapsed="false">
      <c r="F232" s="79"/>
    </row>
    <row r="233" customFormat="false" ht="15.75" hidden="false" customHeight="false" outlineLevel="0" collapsed="false">
      <c r="F233" s="79"/>
    </row>
    <row r="234" customFormat="false" ht="15.75" hidden="false" customHeight="false" outlineLevel="0" collapsed="false">
      <c r="F234" s="79"/>
    </row>
    <row r="235" customFormat="false" ht="15.75" hidden="false" customHeight="false" outlineLevel="0" collapsed="false">
      <c r="F235" s="79"/>
    </row>
    <row r="236" customFormat="false" ht="15.75" hidden="false" customHeight="false" outlineLevel="0" collapsed="false">
      <c r="F236" s="79"/>
    </row>
    <row r="237" customFormat="false" ht="15.75" hidden="false" customHeight="false" outlineLevel="0" collapsed="false">
      <c r="F237" s="79"/>
    </row>
    <row r="238" customFormat="false" ht="15.75" hidden="false" customHeight="false" outlineLevel="0" collapsed="false">
      <c r="F238" s="79"/>
    </row>
    <row r="239" customFormat="false" ht="15.75" hidden="false" customHeight="false" outlineLevel="0" collapsed="false">
      <c r="F239" s="79"/>
    </row>
    <row r="240" customFormat="false" ht="15.75" hidden="false" customHeight="false" outlineLevel="0" collapsed="false">
      <c r="F240" s="79"/>
    </row>
    <row r="241" customFormat="false" ht="15.75" hidden="false" customHeight="false" outlineLevel="0" collapsed="false">
      <c r="F241" s="79"/>
    </row>
    <row r="242" customFormat="false" ht="15.75" hidden="false" customHeight="false" outlineLevel="0" collapsed="false">
      <c r="F242" s="79"/>
    </row>
    <row r="243" customFormat="false" ht="15.75" hidden="false" customHeight="false" outlineLevel="0" collapsed="false">
      <c r="F243" s="79"/>
    </row>
    <row r="244" customFormat="false" ht="15.75" hidden="false" customHeight="false" outlineLevel="0" collapsed="false">
      <c r="F244" s="79"/>
    </row>
    <row r="245" customFormat="false" ht="15.75" hidden="false" customHeight="false" outlineLevel="0" collapsed="false">
      <c r="F245" s="79"/>
    </row>
    <row r="246" customFormat="false" ht="15.75" hidden="false" customHeight="false" outlineLevel="0" collapsed="false">
      <c r="F246" s="79"/>
    </row>
    <row r="247" customFormat="false" ht="15.75" hidden="false" customHeight="false" outlineLevel="0" collapsed="false">
      <c r="F247" s="79"/>
    </row>
    <row r="248" customFormat="false" ht="15.75" hidden="false" customHeight="false" outlineLevel="0" collapsed="false">
      <c r="F248" s="79"/>
    </row>
    <row r="249" customFormat="false" ht="15.75" hidden="false" customHeight="false" outlineLevel="0" collapsed="false">
      <c r="F249" s="79"/>
    </row>
    <row r="250" customFormat="false" ht="15.75" hidden="false" customHeight="false" outlineLevel="0" collapsed="false">
      <c r="F250" s="79"/>
    </row>
    <row r="251" customFormat="false" ht="15.75" hidden="false" customHeight="false" outlineLevel="0" collapsed="false">
      <c r="F251" s="79"/>
    </row>
    <row r="252" customFormat="false" ht="15.75" hidden="false" customHeight="false" outlineLevel="0" collapsed="false">
      <c r="F252" s="79"/>
    </row>
    <row r="253" customFormat="false" ht="15.75" hidden="false" customHeight="false" outlineLevel="0" collapsed="false">
      <c r="F253" s="79"/>
    </row>
    <row r="254" customFormat="false" ht="15.75" hidden="false" customHeight="false" outlineLevel="0" collapsed="false">
      <c r="F254" s="79"/>
    </row>
    <row r="255" customFormat="false" ht="15.75" hidden="false" customHeight="false" outlineLevel="0" collapsed="false">
      <c r="F255" s="79"/>
    </row>
    <row r="256" customFormat="false" ht="15.75" hidden="false" customHeight="false" outlineLevel="0" collapsed="false">
      <c r="F256" s="79"/>
    </row>
    <row r="257" customFormat="false" ht="15.75" hidden="false" customHeight="false" outlineLevel="0" collapsed="false">
      <c r="F257" s="79"/>
    </row>
    <row r="258" customFormat="false" ht="15.75" hidden="false" customHeight="false" outlineLevel="0" collapsed="false">
      <c r="F258" s="79"/>
    </row>
    <row r="259" customFormat="false" ht="15.75" hidden="false" customHeight="false" outlineLevel="0" collapsed="false">
      <c r="F259" s="79"/>
    </row>
    <row r="260" customFormat="false" ht="15.75" hidden="false" customHeight="false" outlineLevel="0" collapsed="false">
      <c r="F260" s="79"/>
    </row>
    <row r="261" customFormat="false" ht="15.75" hidden="false" customHeight="false" outlineLevel="0" collapsed="false">
      <c r="F261" s="79"/>
    </row>
    <row r="262" customFormat="false" ht="15.75" hidden="false" customHeight="false" outlineLevel="0" collapsed="false">
      <c r="F262" s="79"/>
    </row>
    <row r="263" customFormat="false" ht="15.75" hidden="false" customHeight="false" outlineLevel="0" collapsed="false">
      <c r="F263" s="79"/>
    </row>
    <row r="264" customFormat="false" ht="15.75" hidden="false" customHeight="false" outlineLevel="0" collapsed="false">
      <c r="F264" s="79"/>
    </row>
    <row r="265" customFormat="false" ht="15.75" hidden="false" customHeight="false" outlineLevel="0" collapsed="false">
      <c r="F265" s="79"/>
    </row>
    <row r="266" customFormat="false" ht="15.75" hidden="false" customHeight="false" outlineLevel="0" collapsed="false">
      <c r="F266" s="79"/>
    </row>
    <row r="267" customFormat="false" ht="15.75" hidden="false" customHeight="false" outlineLevel="0" collapsed="false">
      <c r="F267" s="79"/>
    </row>
    <row r="268" customFormat="false" ht="15.75" hidden="false" customHeight="false" outlineLevel="0" collapsed="false">
      <c r="F268" s="79"/>
    </row>
    <row r="269" customFormat="false" ht="15.75" hidden="false" customHeight="false" outlineLevel="0" collapsed="false">
      <c r="F269" s="79"/>
    </row>
    <row r="270" customFormat="false" ht="15.75" hidden="false" customHeight="false" outlineLevel="0" collapsed="false">
      <c r="F270" s="79"/>
    </row>
    <row r="271" customFormat="false" ht="15.75" hidden="false" customHeight="false" outlineLevel="0" collapsed="false">
      <c r="F271" s="79"/>
    </row>
    <row r="272" customFormat="false" ht="15.75" hidden="false" customHeight="false" outlineLevel="0" collapsed="false">
      <c r="F272" s="79"/>
    </row>
    <row r="273" customFormat="false" ht="15.75" hidden="false" customHeight="false" outlineLevel="0" collapsed="false">
      <c r="F273" s="79"/>
    </row>
    <row r="274" customFormat="false" ht="15.75" hidden="false" customHeight="false" outlineLevel="0" collapsed="false">
      <c r="F274" s="79"/>
    </row>
    <row r="275" customFormat="false" ht="15.75" hidden="false" customHeight="false" outlineLevel="0" collapsed="false">
      <c r="F275" s="79"/>
    </row>
    <row r="276" customFormat="false" ht="15.75" hidden="false" customHeight="false" outlineLevel="0" collapsed="false">
      <c r="F276" s="79"/>
    </row>
    <row r="277" customFormat="false" ht="15.75" hidden="false" customHeight="false" outlineLevel="0" collapsed="false">
      <c r="F277" s="79"/>
    </row>
    <row r="278" customFormat="false" ht="15.75" hidden="false" customHeight="false" outlineLevel="0" collapsed="false">
      <c r="F278" s="79"/>
    </row>
    <row r="279" customFormat="false" ht="15.75" hidden="false" customHeight="false" outlineLevel="0" collapsed="false">
      <c r="F279" s="79"/>
    </row>
    <row r="280" customFormat="false" ht="15.75" hidden="false" customHeight="false" outlineLevel="0" collapsed="false">
      <c r="F280" s="79"/>
    </row>
    <row r="281" customFormat="false" ht="15.75" hidden="false" customHeight="false" outlineLevel="0" collapsed="false">
      <c r="F281" s="79"/>
    </row>
    <row r="282" customFormat="false" ht="15.75" hidden="false" customHeight="false" outlineLevel="0" collapsed="false">
      <c r="F282" s="79"/>
    </row>
    <row r="283" customFormat="false" ht="15.75" hidden="false" customHeight="false" outlineLevel="0" collapsed="false">
      <c r="F283" s="79"/>
    </row>
    <row r="284" customFormat="false" ht="15.75" hidden="false" customHeight="false" outlineLevel="0" collapsed="false">
      <c r="F284" s="79"/>
    </row>
    <row r="285" customFormat="false" ht="15.75" hidden="false" customHeight="false" outlineLevel="0" collapsed="false">
      <c r="F285" s="79"/>
    </row>
    <row r="286" customFormat="false" ht="15.75" hidden="false" customHeight="false" outlineLevel="0" collapsed="false">
      <c r="F286" s="79"/>
    </row>
    <row r="287" customFormat="false" ht="15.75" hidden="false" customHeight="false" outlineLevel="0" collapsed="false">
      <c r="F287" s="79"/>
    </row>
    <row r="288" customFormat="false" ht="15.75" hidden="false" customHeight="false" outlineLevel="0" collapsed="false">
      <c r="F288" s="79"/>
    </row>
    <row r="289" customFormat="false" ht="15.75" hidden="false" customHeight="false" outlineLevel="0" collapsed="false">
      <c r="F289" s="79"/>
    </row>
    <row r="290" customFormat="false" ht="15.75" hidden="false" customHeight="false" outlineLevel="0" collapsed="false">
      <c r="F290" s="79"/>
    </row>
    <row r="291" customFormat="false" ht="15.75" hidden="false" customHeight="false" outlineLevel="0" collapsed="false">
      <c r="F291" s="79"/>
    </row>
    <row r="292" customFormat="false" ht="15.75" hidden="false" customHeight="false" outlineLevel="0" collapsed="false">
      <c r="F292" s="79"/>
    </row>
    <row r="293" customFormat="false" ht="15.75" hidden="false" customHeight="false" outlineLevel="0" collapsed="false">
      <c r="F293" s="79"/>
    </row>
    <row r="294" customFormat="false" ht="15.75" hidden="false" customHeight="false" outlineLevel="0" collapsed="false">
      <c r="F294" s="79"/>
    </row>
    <row r="295" customFormat="false" ht="15.75" hidden="false" customHeight="false" outlineLevel="0" collapsed="false">
      <c r="F295" s="79"/>
    </row>
    <row r="296" customFormat="false" ht="15.75" hidden="false" customHeight="false" outlineLevel="0" collapsed="false">
      <c r="F296" s="79"/>
    </row>
    <row r="297" customFormat="false" ht="15.75" hidden="false" customHeight="false" outlineLevel="0" collapsed="false">
      <c r="F297" s="79"/>
    </row>
    <row r="298" customFormat="false" ht="15.75" hidden="false" customHeight="false" outlineLevel="0" collapsed="false">
      <c r="F298" s="79"/>
    </row>
    <row r="299" customFormat="false" ht="15.75" hidden="false" customHeight="false" outlineLevel="0" collapsed="false">
      <c r="F299" s="79"/>
    </row>
    <row r="300" customFormat="false" ht="15.75" hidden="false" customHeight="false" outlineLevel="0" collapsed="false">
      <c r="F300" s="79"/>
    </row>
    <row r="301" customFormat="false" ht="15.75" hidden="false" customHeight="false" outlineLevel="0" collapsed="false">
      <c r="F301" s="79"/>
    </row>
    <row r="302" customFormat="false" ht="15.75" hidden="false" customHeight="false" outlineLevel="0" collapsed="false">
      <c r="F302" s="79"/>
    </row>
    <row r="303" customFormat="false" ht="15.75" hidden="false" customHeight="false" outlineLevel="0" collapsed="false">
      <c r="F303" s="79"/>
    </row>
    <row r="304" customFormat="false" ht="15.75" hidden="false" customHeight="false" outlineLevel="0" collapsed="false">
      <c r="F304" s="79"/>
    </row>
    <row r="305" customFormat="false" ht="15.75" hidden="false" customHeight="false" outlineLevel="0" collapsed="false">
      <c r="F305" s="79"/>
    </row>
    <row r="306" customFormat="false" ht="15.75" hidden="false" customHeight="false" outlineLevel="0" collapsed="false">
      <c r="F306" s="79"/>
    </row>
    <row r="307" customFormat="false" ht="15.75" hidden="false" customHeight="false" outlineLevel="0" collapsed="false">
      <c r="F307" s="79"/>
    </row>
    <row r="308" customFormat="false" ht="15.75" hidden="false" customHeight="false" outlineLevel="0" collapsed="false">
      <c r="F308" s="79"/>
    </row>
    <row r="309" customFormat="false" ht="15.75" hidden="false" customHeight="false" outlineLevel="0" collapsed="false">
      <c r="F309" s="79"/>
    </row>
    <row r="310" customFormat="false" ht="15.75" hidden="false" customHeight="false" outlineLevel="0" collapsed="false">
      <c r="F310" s="79"/>
    </row>
    <row r="311" customFormat="false" ht="15.75" hidden="false" customHeight="false" outlineLevel="0" collapsed="false">
      <c r="F311" s="79"/>
    </row>
    <row r="312" customFormat="false" ht="15.75" hidden="false" customHeight="false" outlineLevel="0" collapsed="false">
      <c r="F312" s="79"/>
    </row>
    <row r="313" customFormat="false" ht="15.75" hidden="false" customHeight="false" outlineLevel="0" collapsed="false">
      <c r="F313" s="79"/>
    </row>
    <row r="314" customFormat="false" ht="15.75" hidden="false" customHeight="false" outlineLevel="0" collapsed="false">
      <c r="F314" s="79"/>
    </row>
    <row r="315" customFormat="false" ht="15.75" hidden="false" customHeight="false" outlineLevel="0" collapsed="false">
      <c r="F315" s="79"/>
    </row>
    <row r="316" customFormat="false" ht="15.75" hidden="false" customHeight="false" outlineLevel="0" collapsed="false">
      <c r="F316" s="79"/>
    </row>
    <row r="317" customFormat="false" ht="15.75" hidden="false" customHeight="false" outlineLevel="0" collapsed="false">
      <c r="F317" s="79"/>
    </row>
    <row r="318" customFormat="false" ht="15.75" hidden="false" customHeight="false" outlineLevel="0" collapsed="false">
      <c r="F318" s="79"/>
    </row>
    <row r="319" customFormat="false" ht="15.75" hidden="false" customHeight="false" outlineLevel="0" collapsed="false">
      <c r="F319" s="79"/>
    </row>
    <row r="320" customFormat="false" ht="15.75" hidden="false" customHeight="false" outlineLevel="0" collapsed="false">
      <c r="F320" s="79"/>
    </row>
    <row r="321" customFormat="false" ht="15.75" hidden="false" customHeight="false" outlineLevel="0" collapsed="false">
      <c r="F321" s="79"/>
    </row>
    <row r="322" customFormat="false" ht="15.75" hidden="false" customHeight="false" outlineLevel="0" collapsed="false">
      <c r="F322" s="79"/>
    </row>
    <row r="323" customFormat="false" ht="15.75" hidden="false" customHeight="false" outlineLevel="0" collapsed="false">
      <c r="F323" s="79"/>
    </row>
    <row r="324" customFormat="false" ht="15.75" hidden="false" customHeight="false" outlineLevel="0" collapsed="false">
      <c r="F324" s="79"/>
    </row>
    <row r="325" customFormat="false" ht="15.75" hidden="false" customHeight="false" outlineLevel="0" collapsed="false">
      <c r="F325" s="79"/>
    </row>
    <row r="326" customFormat="false" ht="15.75" hidden="false" customHeight="false" outlineLevel="0" collapsed="false">
      <c r="F326" s="79"/>
    </row>
    <row r="327" customFormat="false" ht="15.75" hidden="false" customHeight="false" outlineLevel="0" collapsed="false">
      <c r="F327" s="79"/>
    </row>
    <row r="328" customFormat="false" ht="15.75" hidden="false" customHeight="false" outlineLevel="0" collapsed="false">
      <c r="F328" s="79"/>
    </row>
    <row r="329" customFormat="false" ht="15.75" hidden="false" customHeight="false" outlineLevel="0" collapsed="false">
      <c r="F329" s="79"/>
    </row>
    <row r="330" customFormat="false" ht="15.75" hidden="false" customHeight="false" outlineLevel="0" collapsed="false">
      <c r="F330" s="79"/>
    </row>
    <row r="331" customFormat="false" ht="15.75" hidden="false" customHeight="false" outlineLevel="0" collapsed="false">
      <c r="F331" s="79"/>
    </row>
    <row r="332" customFormat="false" ht="15.75" hidden="false" customHeight="false" outlineLevel="0" collapsed="false">
      <c r="F332" s="79"/>
    </row>
    <row r="333" customFormat="false" ht="15.75" hidden="false" customHeight="false" outlineLevel="0" collapsed="false">
      <c r="F333" s="79"/>
    </row>
    <row r="334" customFormat="false" ht="15.75" hidden="false" customHeight="false" outlineLevel="0" collapsed="false">
      <c r="F334" s="79"/>
    </row>
    <row r="335" customFormat="false" ht="15.75" hidden="false" customHeight="false" outlineLevel="0" collapsed="false">
      <c r="F335" s="79"/>
    </row>
    <row r="336" customFormat="false" ht="15.75" hidden="false" customHeight="false" outlineLevel="0" collapsed="false">
      <c r="F336" s="79"/>
    </row>
    <row r="337" customFormat="false" ht="15.75" hidden="false" customHeight="false" outlineLevel="0" collapsed="false">
      <c r="F337" s="79"/>
    </row>
    <row r="338" customFormat="false" ht="15.75" hidden="false" customHeight="false" outlineLevel="0" collapsed="false">
      <c r="F338" s="79"/>
    </row>
    <row r="339" customFormat="false" ht="15.75" hidden="false" customHeight="false" outlineLevel="0" collapsed="false">
      <c r="F339" s="79"/>
    </row>
    <row r="340" customFormat="false" ht="15.75" hidden="false" customHeight="false" outlineLevel="0" collapsed="false">
      <c r="F340" s="79"/>
    </row>
    <row r="341" customFormat="false" ht="15.75" hidden="false" customHeight="false" outlineLevel="0" collapsed="false">
      <c r="F341" s="79"/>
    </row>
    <row r="342" customFormat="false" ht="15.75" hidden="false" customHeight="false" outlineLevel="0" collapsed="false">
      <c r="F342" s="79"/>
    </row>
    <row r="343" customFormat="false" ht="15.75" hidden="false" customHeight="false" outlineLevel="0" collapsed="false">
      <c r="F343" s="79"/>
    </row>
    <row r="344" customFormat="false" ht="15.75" hidden="false" customHeight="false" outlineLevel="0" collapsed="false">
      <c r="F344" s="79"/>
    </row>
    <row r="345" customFormat="false" ht="15.75" hidden="false" customHeight="false" outlineLevel="0" collapsed="false">
      <c r="F345" s="79"/>
    </row>
    <row r="346" customFormat="false" ht="15.75" hidden="false" customHeight="false" outlineLevel="0" collapsed="false">
      <c r="F346" s="79"/>
    </row>
    <row r="347" customFormat="false" ht="15.75" hidden="false" customHeight="false" outlineLevel="0" collapsed="false">
      <c r="F347" s="79"/>
    </row>
    <row r="348" customFormat="false" ht="15.75" hidden="false" customHeight="false" outlineLevel="0" collapsed="false">
      <c r="F348" s="79"/>
    </row>
    <row r="349" customFormat="false" ht="15.75" hidden="false" customHeight="false" outlineLevel="0" collapsed="false">
      <c r="F349" s="79"/>
    </row>
    <row r="350" customFormat="false" ht="15.75" hidden="false" customHeight="false" outlineLevel="0" collapsed="false">
      <c r="F350" s="79"/>
    </row>
    <row r="351" customFormat="false" ht="15.75" hidden="false" customHeight="false" outlineLevel="0" collapsed="false">
      <c r="F351" s="79"/>
    </row>
    <row r="352" customFormat="false" ht="15.75" hidden="false" customHeight="false" outlineLevel="0" collapsed="false">
      <c r="F352" s="79"/>
    </row>
    <row r="353" customFormat="false" ht="15.75" hidden="false" customHeight="false" outlineLevel="0" collapsed="false">
      <c r="F353" s="79"/>
    </row>
    <row r="354" customFormat="false" ht="15.75" hidden="false" customHeight="false" outlineLevel="0" collapsed="false">
      <c r="F354" s="79"/>
    </row>
    <row r="355" customFormat="false" ht="15.75" hidden="false" customHeight="false" outlineLevel="0" collapsed="false">
      <c r="F355" s="79"/>
    </row>
    <row r="356" customFormat="false" ht="15.75" hidden="false" customHeight="false" outlineLevel="0" collapsed="false">
      <c r="F356" s="79"/>
    </row>
    <row r="357" customFormat="false" ht="15.75" hidden="false" customHeight="false" outlineLevel="0" collapsed="false">
      <c r="F357" s="79"/>
    </row>
    <row r="358" customFormat="false" ht="15.75" hidden="false" customHeight="false" outlineLevel="0" collapsed="false">
      <c r="F358" s="79"/>
    </row>
    <row r="359" customFormat="false" ht="15.75" hidden="false" customHeight="false" outlineLevel="0" collapsed="false">
      <c r="F359" s="79"/>
    </row>
    <row r="360" customFormat="false" ht="15.75" hidden="false" customHeight="false" outlineLevel="0" collapsed="false">
      <c r="F360" s="79"/>
    </row>
    <row r="361" customFormat="false" ht="15.75" hidden="false" customHeight="false" outlineLevel="0" collapsed="false">
      <c r="F361" s="79"/>
    </row>
    <row r="362" customFormat="false" ht="15.75" hidden="false" customHeight="false" outlineLevel="0" collapsed="false">
      <c r="F362" s="79"/>
    </row>
    <row r="363" customFormat="false" ht="15.75" hidden="false" customHeight="false" outlineLevel="0" collapsed="false">
      <c r="F363" s="79"/>
    </row>
    <row r="364" customFormat="false" ht="15.75" hidden="false" customHeight="false" outlineLevel="0" collapsed="false">
      <c r="F364" s="79"/>
    </row>
    <row r="365" customFormat="false" ht="15.75" hidden="false" customHeight="false" outlineLevel="0" collapsed="false">
      <c r="F365" s="79"/>
    </row>
    <row r="366" customFormat="false" ht="15.75" hidden="false" customHeight="false" outlineLevel="0" collapsed="false">
      <c r="F366" s="79"/>
    </row>
    <row r="367" customFormat="false" ht="15.75" hidden="false" customHeight="false" outlineLevel="0" collapsed="false">
      <c r="F367" s="79"/>
    </row>
    <row r="368" customFormat="false" ht="15.75" hidden="false" customHeight="false" outlineLevel="0" collapsed="false">
      <c r="F368" s="79"/>
    </row>
    <row r="369" customFormat="false" ht="15.75" hidden="false" customHeight="false" outlineLevel="0" collapsed="false">
      <c r="F369" s="79"/>
    </row>
    <row r="370" customFormat="false" ht="15.75" hidden="false" customHeight="false" outlineLevel="0" collapsed="false">
      <c r="F370" s="79"/>
    </row>
    <row r="371" customFormat="false" ht="15.75" hidden="false" customHeight="false" outlineLevel="0" collapsed="false">
      <c r="F371" s="79"/>
    </row>
    <row r="372" customFormat="false" ht="15.75" hidden="false" customHeight="false" outlineLevel="0" collapsed="false">
      <c r="F372" s="79"/>
    </row>
    <row r="373" customFormat="false" ht="15.75" hidden="false" customHeight="false" outlineLevel="0" collapsed="false">
      <c r="F373" s="79"/>
    </row>
    <row r="374" customFormat="false" ht="15.75" hidden="false" customHeight="false" outlineLevel="0" collapsed="false">
      <c r="F374" s="79"/>
    </row>
    <row r="375" customFormat="false" ht="15.75" hidden="false" customHeight="false" outlineLevel="0" collapsed="false">
      <c r="F375" s="79"/>
    </row>
    <row r="376" customFormat="false" ht="15.75" hidden="false" customHeight="false" outlineLevel="0" collapsed="false">
      <c r="F376" s="79"/>
    </row>
    <row r="377" customFormat="false" ht="15.75" hidden="false" customHeight="false" outlineLevel="0" collapsed="false">
      <c r="F377" s="79"/>
    </row>
    <row r="378" customFormat="false" ht="15.75" hidden="false" customHeight="false" outlineLevel="0" collapsed="false">
      <c r="F378" s="79"/>
    </row>
    <row r="379" customFormat="false" ht="15.75" hidden="false" customHeight="false" outlineLevel="0" collapsed="false">
      <c r="F379" s="79"/>
    </row>
    <row r="380" customFormat="false" ht="15.75" hidden="false" customHeight="false" outlineLevel="0" collapsed="false">
      <c r="F380" s="79"/>
    </row>
    <row r="381" customFormat="false" ht="15.75" hidden="false" customHeight="false" outlineLevel="0" collapsed="false">
      <c r="F381" s="79"/>
    </row>
    <row r="382" customFormat="false" ht="15.75" hidden="false" customHeight="false" outlineLevel="0" collapsed="false">
      <c r="F382" s="79"/>
    </row>
    <row r="383" customFormat="false" ht="15.75" hidden="false" customHeight="false" outlineLevel="0" collapsed="false">
      <c r="F383" s="79"/>
    </row>
    <row r="384" customFormat="false" ht="15.75" hidden="false" customHeight="false" outlineLevel="0" collapsed="false">
      <c r="F384" s="79"/>
    </row>
    <row r="385" customFormat="false" ht="15.75" hidden="false" customHeight="false" outlineLevel="0" collapsed="false">
      <c r="F385" s="79"/>
    </row>
    <row r="386" customFormat="false" ht="15.75" hidden="false" customHeight="false" outlineLevel="0" collapsed="false">
      <c r="F386" s="79"/>
    </row>
    <row r="387" customFormat="false" ht="15.75" hidden="false" customHeight="false" outlineLevel="0" collapsed="false">
      <c r="F387" s="79"/>
    </row>
    <row r="388" customFormat="false" ht="15.75" hidden="false" customHeight="false" outlineLevel="0" collapsed="false">
      <c r="F388" s="79"/>
    </row>
    <row r="389" customFormat="false" ht="15.75" hidden="false" customHeight="false" outlineLevel="0" collapsed="false">
      <c r="F389" s="79"/>
    </row>
    <row r="390" customFormat="false" ht="15.75" hidden="false" customHeight="false" outlineLevel="0" collapsed="false">
      <c r="F390" s="79"/>
    </row>
    <row r="391" customFormat="false" ht="15.75" hidden="false" customHeight="false" outlineLevel="0" collapsed="false">
      <c r="F391" s="79"/>
    </row>
    <row r="392" customFormat="false" ht="15.75" hidden="false" customHeight="false" outlineLevel="0" collapsed="false">
      <c r="F392" s="79"/>
    </row>
    <row r="393" customFormat="false" ht="15.75" hidden="false" customHeight="false" outlineLevel="0" collapsed="false">
      <c r="F393" s="79"/>
    </row>
    <row r="394" customFormat="false" ht="15.75" hidden="false" customHeight="false" outlineLevel="0" collapsed="false">
      <c r="F394" s="79"/>
    </row>
    <row r="395" customFormat="false" ht="15.75" hidden="false" customHeight="false" outlineLevel="0" collapsed="false">
      <c r="F395" s="79"/>
    </row>
    <row r="396" customFormat="false" ht="15.75" hidden="false" customHeight="false" outlineLevel="0" collapsed="false">
      <c r="F396" s="79"/>
    </row>
    <row r="397" customFormat="false" ht="15.75" hidden="false" customHeight="false" outlineLevel="0" collapsed="false">
      <c r="F397" s="79"/>
    </row>
    <row r="398" customFormat="false" ht="15.75" hidden="false" customHeight="false" outlineLevel="0" collapsed="false">
      <c r="F398" s="79"/>
    </row>
    <row r="399" customFormat="false" ht="15.75" hidden="false" customHeight="false" outlineLevel="0" collapsed="false">
      <c r="F399" s="79"/>
    </row>
    <row r="400" customFormat="false" ht="15.75" hidden="false" customHeight="false" outlineLevel="0" collapsed="false">
      <c r="F400" s="79"/>
    </row>
    <row r="401" customFormat="false" ht="15.75" hidden="false" customHeight="false" outlineLevel="0" collapsed="false">
      <c r="F401" s="79"/>
    </row>
    <row r="402" customFormat="false" ht="15.75" hidden="false" customHeight="false" outlineLevel="0" collapsed="false">
      <c r="F402" s="79"/>
    </row>
    <row r="403" customFormat="false" ht="15.75" hidden="false" customHeight="false" outlineLevel="0" collapsed="false">
      <c r="F403" s="79"/>
    </row>
    <row r="404" customFormat="false" ht="15.75" hidden="false" customHeight="false" outlineLevel="0" collapsed="false">
      <c r="F404" s="79"/>
    </row>
    <row r="405" customFormat="false" ht="15.75" hidden="false" customHeight="false" outlineLevel="0" collapsed="false">
      <c r="F405" s="79"/>
    </row>
    <row r="406" customFormat="false" ht="15.75" hidden="false" customHeight="false" outlineLevel="0" collapsed="false">
      <c r="F406" s="79"/>
    </row>
    <row r="407" customFormat="false" ht="15.75" hidden="false" customHeight="false" outlineLevel="0" collapsed="false">
      <c r="F407" s="79"/>
    </row>
    <row r="408" customFormat="false" ht="15.75" hidden="false" customHeight="false" outlineLevel="0" collapsed="false">
      <c r="F408" s="79"/>
    </row>
    <row r="409" customFormat="false" ht="15.75" hidden="false" customHeight="false" outlineLevel="0" collapsed="false">
      <c r="F409" s="79"/>
    </row>
    <row r="410" customFormat="false" ht="15.75" hidden="false" customHeight="false" outlineLevel="0" collapsed="false">
      <c r="F410" s="79"/>
    </row>
    <row r="411" customFormat="false" ht="15.75" hidden="false" customHeight="false" outlineLevel="0" collapsed="false">
      <c r="F411" s="79"/>
    </row>
    <row r="412" customFormat="false" ht="15.75" hidden="false" customHeight="false" outlineLevel="0" collapsed="false">
      <c r="F412" s="79"/>
    </row>
    <row r="413" customFormat="false" ht="15.75" hidden="false" customHeight="false" outlineLevel="0" collapsed="false">
      <c r="F413" s="79"/>
    </row>
    <row r="414" customFormat="false" ht="15.75" hidden="false" customHeight="false" outlineLevel="0" collapsed="false">
      <c r="F414" s="79"/>
    </row>
    <row r="415" customFormat="false" ht="15.75" hidden="false" customHeight="false" outlineLevel="0" collapsed="false">
      <c r="F415" s="79"/>
    </row>
    <row r="416" customFormat="false" ht="15.75" hidden="false" customHeight="false" outlineLevel="0" collapsed="false">
      <c r="F416" s="79"/>
    </row>
    <row r="417" customFormat="false" ht="15.75" hidden="false" customHeight="false" outlineLevel="0" collapsed="false">
      <c r="F417" s="79"/>
    </row>
    <row r="418" customFormat="false" ht="15.75" hidden="false" customHeight="false" outlineLevel="0" collapsed="false">
      <c r="F418" s="79"/>
    </row>
    <row r="419" customFormat="false" ht="15.75" hidden="false" customHeight="false" outlineLevel="0" collapsed="false">
      <c r="F419" s="79"/>
    </row>
    <row r="420" customFormat="false" ht="15.75" hidden="false" customHeight="false" outlineLevel="0" collapsed="false">
      <c r="F420" s="79"/>
    </row>
    <row r="421" customFormat="false" ht="15.75" hidden="false" customHeight="false" outlineLevel="0" collapsed="false">
      <c r="F421" s="79"/>
    </row>
    <row r="422" customFormat="false" ht="15.75" hidden="false" customHeight="false" outlineLevel="0" collapsed="false">
      <c r="F422" s="79"/>
    </row>
    <row r="423" customFormat="false" ht="15.75" hidden="false" customHeight="false" outlineLevel="0" collapsed="false">
      <c r="F423" s="79"/>
    </row>
    <row r="424" customFormat="false" ht="15.75" hidden="false" customHeight="false" outlineLevel="0" collapsed="false">
      <c r="F424" s="79"/>
    </row>
    <row r="425" customFormat="false" ht="15.75" hidden="false" customHeight="false" outlineLevel="0" collapsed="false">
      <c r="F425" s="79"/>
    </row>
    <row r="426" customFormat="false" ht="15.75" hidden="false" customHeight="false" outlineLevel="0" collapsed="false">
      <c r="F426" s="79"/>
    </row>
    <row r="427" customFormat="false" ht="15.75" hidden="false" customHeight="false" outlineLevel="0" collapsed="false">
      <c r="F427" s="79"/>
    </row>
    <row r="428" customFormat="false" ht="15.75" hidden="false" customHeight="false" outlineLevel="0" collapsed="false">
      <c r="F428" s="79"/>
    </row>
    <row r="429" customFormat="false" ht="15.75" hidden="false" customHeight="false" outlineLevel="0" collapsed="false">
      <c r="F429" s="79"/>
    </row>
    <row r="430" customFormat="false" ht="15.75" hidden="false" customHeight="false" outlineLevel="0" collapsed="false">
      <c r="F430" s="79"/>
    </row>
    <row r="431" customFormat="false" ht="15.75" hidden="false" customHeight="false" outlineLevel="0" collapsed="false">
      <c r="F431" s="79"/>
    </row>
    <row r="432" customFormat="false" ht="15.75" hidden="false" customHeight="false" outlineLevel="0" collapsed="false">
      <c r="F432" s="79"/>
    </row>
    <row r="433" customFormat="false" ht="15.75" hidden="false" customHeight="false" outlineLevel="0" collapsed="false">
      <c r="F433" s="79"/>
    </row>
    <row r="434" customFormat="false" ht="15.75" hidden="false" customHeight="false" outlineLevel="0" collapsed="false">
      <c r="F434" s="79"/>
    </row>
    <row r="435" customFormat="false" ht="15.75" hidden="false" customHeight="false" outlineLevel="0" collapsed="false">
      <c r="F435" s="79"/>
    </row>
    <row r="436" customFormat="false" ht="15.75" hidden="false" customHeight="false" outlineLevel="0" collapsed="false">
      <c r="F436" s="79"/>
    </row>
    <row r="437" customFormat="false" ht="15.75" hidden="false" customHeight="false" outlineLevel="0" collapsed="false">
      <c r="F437" s="79"/>
    </row>
    <row r="438" customFormat="false" ht="15.75" hidden="false" customHeight="false" outlineLevel="0" collapsed="false">
      <c r="F438" s="79"/>
    </row>
    <row r="439" customFormat="false" ht="15.75" hidden="false" customHeight="false" outlineLevel="0" collapsed="false">
      <c r="F439" s="79"/>
    </row>
    <row r="440" customFormat="false" ht="15.75" hidden="false" customHeight="false" outlineLevel="0" collapsed="false">
      <c r="F440" s="79"/>
    </row>
    <row r="441" customFormat="false" ht="15.75" hidden="false" customHeight="false" outlineLevel="0" collapsed="false">
      <c r="F441" s="79"/>
    </row>
    <row r="442" customFormat="false" ht="15.75" hidden="false" customHeight="false" outlineLevel="0" collapsed="false">
      <c r="F442" s="79"/>
    </row>
    <row r="443" customFormat="false" ht="15.75" hidden="false" customHeight="false" outlineLevel="0" collapsed="false">
      <c r="F443" s="79"/>
    </row>
    <row r="444" customFormat="false" ht="15.75" hidden="false" customHeight="false" outlineLevel="0" collapsed="false">
      <c r="F444" s="79"/>
    </row>
    <row r="445" customFormat="false" ht="15.75" hidden="false" customHeight="false" outlineLevel="0" collapsed="false">
      <c r="F445" s="79"/>
    </row>
    <row r="446" customFormat="false" ht="15.75" hidden="false" customHeight="false" outlineLevel="0" collapsed="false">
      <c r="F446" s="79"/>
    </row>
    <row r="447" customFormat="false" ht="15.75" hidden="false" customHeight="false" outlineLevel="0" collapsed="false">
      <c r="F447" s="79"/>
    </row>
    <row r="448" customFormat="false" ht="15.75" hidden="false" customHeight="false" outlineLevel="0" collapsed="false">
      <c r="F448" s="79"/>
    </row>
    <row r="449" customFormat="false" ht="15.75" hidden="false" customHeight="false" outlineLevel="0" collapsed="false">
      <c r="F449" s="79"/>
    </row>
    <row r="450" customFormat="false" ht="15.75" hidden="false" customHeight="false" outlineLevel="0" collapsed="false">
      <c r="F450" s="79"/>
    </row>
    <row r="451" customFormat="false" ht="15.75" hidden="false" customHeight="false" outlineLevel="0" collapsed="false">
      <c r="F451" s="79"/>
    </row>
    <row r="452" customFormat="false" ht="15.75" hidden="false" customHeight="false" outlineLevel="0" collapsed="false">
      <c r="F452" s="79"/>
    </row>
    <row r="453" customFormat="false" ht="15.75" hidden="false" customHeight="false" outlineLevel="0" collapsed="false">
      <c r="F453" s="79"/>
    </row>
    <row r="454" customFormat="false" ht="15.75" hidden="false" customHeight="false" outlineLevel="0" collapsed="false">
      <c r="F454" s="79"/>
    </row>
    <row r="455" customFormat="false" ht="15.75" hidden="false" customHeight="false" outlineLevel="0" collapsed="false">
      <c r="F455" s="79"/>
    </row>
    <row r="456" customFormat="false" ht="15.75" hidden="false" customHeight="false" outlineLevel="0" collapsed="false">
      <c r="F456" s="79"/>
    </row>
    <row r="457" customFormat="false" ht="15.75" hidden="false" customHeight="false" outlineLevel="0" collapsed="false">
      <c r="F457" s="79"/>
    </row>
    <row r="458" customFormat="false" ht="15.75" hidden="false" customHeight="false" outlineLevel="0" collapsed="false">
      <c r="F458" s="79"/>
    </row>
    <row r="459" customFormat="false" ht="15.75" hidden="false" customHeight="false" outlineLevel="0" collapsed="false">
      <c r="F459" s="79"/>
    </row>
    <row r="460" customFormat="false" ht="15.75" hidden="false" customHeight="false" outlineLevel="0" collapsed="false">
      <c r="F460" s="79"/>
    </row>
    <row r="461" customFormat="false" ht="15.75" hidden="false" customHeight="false" outlineLevel="0" collapsed="false">
      <c r="F461" s="79"/>
    </row>
    <row r="462" customFormat="false" ht="15.75" hidden="false" customHeight="false" outlineLevel="0" collapsed="false">
      <c r="F462" s="79"/>
    </row>
    <row r="463" customFormat="false" ht="15.75" hidden="false" customHeight="false" outlineLevel="0" collapsed="false">
      <c r="F463" s="79"/>
    </row>
    <row r="464" customFormat="false" ht="15.75" hidden="false" customHeight="false" outlineLevel="0" collapsed="false">
      <c r="F464" s="79"/>
    </row>
    <row r="465" customFormat="false" ht="15.75" hidden="false" customHeight="false" outlineLevel="0" collapsed="false">
      <c r="F465" s="79"/>
    </row>
    <row r="466" customFormat="false" ht="15.75" hidden="false" customHeight="false" outlineLevel="0" collapsed="false">
      <c r="F466" s="79"/>
    </row>
    <row r="467" customFormat="false" ht="15.75" hidden="false" customHeight="false" outlineLevel="0" collapsed="false">
      <c r="F467" s="79"/>
    </row>
    <row r="468" customFormat="false" ht="15.75" hidden="false" customHeight="false" outlineLevel="0" collapsed="false">
      <c r="F468" s="79"/>
    </row>
    <row r="469" customFormat="false" ht="15.75" hidden="false" customHeight="false" outlineLevel="0" collapsed="false">
      <c r="F469" s="79"/>
    </row>
    <row r="470" customFormat="false" ht="15.75" hidden="false" customHeight="false" outlineLevel="0" collapsed="false">
      <c r="F470" s="79"/>
    </row>
    <row r="471" customFormat="false" ht="15.75" hidden="false" customHeight="false" outlineLevel="0" collapsed="false">
      <c r="F471" s="79"/>
    </row>
    <row r="472" customFormat="false" ht="15.75" hidden="false" customHeight="false" outlineLevel="0" collapsed="false">
      <c r="F472" s="79"/>
    </row>
    <row r="473" customFormat="false" ht="15.75" hidden="false" customHeight="false" outlineLevel="0" collapsed="false">
      <c r="F473" s="79"/>
    </row>
    <row r="474" customFormat="false" ht="15.75" hidden="false" customHeight="false" outlineLevel="0" collapsed="false">
      <c r="F474" s="79"/>
    </row>
    <row r="475" customFormat="false" ht="15.75" hidden="false" customHeight="false" outlineLevel="0" collapsed="false">
      <c r="F475" s="79"/>
    </row>
    <row r="476" customFormat="false" ht="15.75" hidden="false" customHeight="false" outlineLevel="0" collapsed="false">
      <c r="F476" s="79"/>
    </row>
    <row r="477" customFormat="false" ht="15.75" hidden="false" customHeight="false" outlineLevel="0" collapsed="false">
      <c r="F477" s="79"/>
    </row>
    <row r="478" customFormat="false" ht="15.75" hidden="false" customHeight="false" outlineLevel="0" collapsed="false">
      <c r="F478" s="79"/>
    </row>
    <row r="479" customFormat="false" ht="15.75" hidden="false" customHeight="false" outlineLevel="0" collapsed="false">
      <c r="F479" s="79"/>
    </row>
    <row r="480" customFormat="false" ht="15.75" hidden="false" customHeight="false" outlineLevel="0" collapsed="false">
      <c r="F480" s="79"/>
    </row>
    <row r="481" customFormat="false" ht="15.75" hidden="false" customHeight="false" outlineLevel="0" collapsed="false">
      <c r="F481" s="79"/>
    </row>
    <row r="482" customFormat="false" ht="15.75" hidden="false" customHeight="false" outlineLevel="0" collapsed="false">
      <c r="F482" s="79"/>
    </row>
    <row r="483" customFormat="false" ht="15.75" hidden="false" customHeight="false" outlineLevel="0" collapsed="false">
      <c r="F483" s="79"/>
    </row>
    <row r="484" customFormat="false" ht="15.75" hidden="false" customHeight="false" outlineLevel="0" collapsed="false">
      <c r="F484" s="79"/>
    </row>
    <row r="485" customFormat="false" ht="15.75" hidden="false" customHeight="false" outlineLevel="0" collapsed="false">
      <c r="F485" s="79"/>
    </row>
    <row r="486" customFormat="false" ht="15.75" hidden="false" customHeight="false" outlineLevel="0" collapsed="false">
      <c r="F486" s="79"/>
    </row>
    <row r="487" customFormat="false" ht="15.75" hidden="false" customHeight="false" outlineLevel="0" collapsed="false">
      <c r="F487" s="79"/>
    </row>
    <row r="488" customFormat="false" ht="15.75" hidden="false" customHeight="false" outlineLevel="0" collapsed="false">
      <c r="F488" s="79"/>
    </row>
    <row r="489" customFormat="false" ht="15.75" hidden="false" customHeight="false" outlineLevel="0" collapsed="false">
      <c r="F489" s="79"/>
    </row>
    <row r="490" customFormat="false" ht="15.75" hidden="false" customHeight="false" outlineLevel="0" collapsed="false">
      <c r="F490" s="79"/>
    </row>
    <row r="491" customFormat="false" ht="15.75" hidden="false" customHeight="false" outlineLevel="0" collapsed="false">
      <c r="F491" s="79"/>
    </row>
    <row r="492" customFormat="false" ht="15.75" hidden="false" customHeight="false" outlineLevel="0" collapsed="false">
      <c r="F492" s="79"/>
    </row>
    <row r="493" customFormat="false" ht="15.75" hidden="false" customHeight="false" outlineLevel="0" collapsed="false">
      <c r="F493" s="79"/>
    </row>
    <row r="494" customFormat="false" ht="15.75" hidden="false" customHeight="false" outlineLevel="0" collapsed="false">
      <c r="F494" s="79"/>
    </row>
    <row r="495" customFormat="false" ht="15.75" hidden="false" customHeight="false" outlineLevel="0" collapsed="false">
      <c r="F495" s="79"/>
    </row>
    <row r="496" customFormat="false" ht="15.75" hidden="false" customHeight="false" outlineLevel="0" collapsed="false">
      <c r="F496" s="79"/>
    </row>
    <row r="497" customFormat="false" ht="15.75" hidden="false" customHeight="false" outlineLevel="0" collapsed="false">
      <c r="F497" s="79"/>
    </row>
    <row r="498" customFormat="false" ht="15.75" hidden="false" customHeight="false" outlineLevel="0" collapsed="false">
      <c r="F498" s="79"/>
    </row>
    <row r="499" customFormat="false" ht="15.75" hidden="false" customHeight="false" outlineLevel="0" collapsed="false">
      <c r="F499" s="79"/>
    </row>
    <row r="500" customFormat="false" ht="15.75" hidden="false" customHeight="false" outlineLevel="0" collapsed="false">
      <c r="F500" s="79"/>
    </row>
    <row r="501" customFormat="false" ht="15.75" hidden="false" customHeight="false" outlineLevel="0" collapsed="false">
      <c r="F501" s="79"/>
    </row>
    <row r="502" customFormat="false" ht="15.75" hidden="false" customHeight="false" outlineLevel="0" collapsed="false">
      <c r="F502" s="79"/>
    </row>
    <row r="503" customFormat="false" ht="15.75" hidden="false" customHeight="false" outlineLevel="0" collapsed="false">
      <c r="F503" s="79"/>
    </row>
    <row r="504" customFormat="false" ht="15.75" hidden="false" customHeight="false" outlineLevel="0" collapsed="false">
      <c r="F504" s="79"/>
    </row>
    <row r="505" customFormat="false" ht="15.75" hidden="false" customHeight="false" outlineLevel="0" collapsed="false">
      <c r="F505" s="79"/>
    </row>
    <row r="506" customFormat="false" ht="15.75" hidden="false" customHeight="false" outlineLevel="0" collapsed="false">
      <c r="F506" s="79"/>
    </row>
    <row r="507" customFormat="false" ht="15.75" hidden="false" customHeight="false" outlineLevel="0" collapsed="false">
      <c r="F507" s="79"/>
    </row>
    <row r="508" customFormat="false" ht="15.75" hidden="false" customHeight="false" outlineLevel="0" collapsed="false">
      <c r="F508" s="79"/>
    </row>
    <row r="509" customFormat="false" ht="15.75" hidden="false" customHeight="false" outlineLevel="0" collapsed="false">
      <c r="F509" s="79"/>
    </row>
    <row r="510" customFormat="false" ht="15.75" hidden="false" customHeight="false" outlineLevel="0" collapsed="false">
      <c r="F510" s="79"/>
    </row>
    <row r="511" customFormat="false" ht="15.75" hidden="false" customHeight="false" outlineLevel="0" collapsed="false">
      <c r="F511" s="79"/>
    </row>
    <row r="512" customFormat="false" ht="15.75" hidden="false" customHeight="false" outlineLevel="0" collapsed="false">
      <c r="F512" s="79"/>
    </row>
    <row r="513" customFormat="false" ht="15.75" hidden="false" customHeight="false" outlineLevel="0" collapsed="false">
      <c r="F513" s="79"/>
    </row>
    <row r="514" customFormat="false" ht="15.75" hidden="false" customHeight="false" outlineLevel="0" collapsed="false">
      <c r="F514" s="79"/>
    </row>
    <row r="515" customFormat="false" ht="15.75" hidden="false" customHeight="false" outlineLevel="0" collapsed="false">
      <c r="F515" s="79"/>
    </row>
    <row r="516" customFormat="false" ht="15.75" hidden="false" customHeight="false" outlineLevel="0" collapsed="false">
      <c r="F516" s="79"/>
    </row>
    <row r="517" customFormat="false" ht="15.75" hidden="false" customHeight="false" outlineLevel="0" collapsed="false">
      <c r="F517" s="79"/>
    </row>
    <row r="518" customFormat="false" ht="15.75" hidden="false" customHeight="false" outlineLevel="0" collapsed="false">
      <c r="F518" s="79"/>
    </row>
    <row r="519" customFormat="false" ht="15.75" hidden="false" customHeight="false" outlineLevel="0" collapsed="false">
      <c r="F519" s="79"/>
    </row>
    <row r="520" customFormat="false" ht="15.75" hidden="false" customHeight="false" outlineLevel="0" collapsed="false">
      <c r="F520" s="79"/>
    </row>
    <row r="521" customFormat="false" ht="15.75" hidden="false" customHeight="false" outlineLevel="0" collapsed="false">
      <c r="F521" s="79"/>
    </row>
    <row r="522" customFormat="false" ht="15.75" hidden="false" customHeight="false" outlineLevel="0" collapsed="false">
      <c r="F522" s="79"/>
    </row>
    <row r="523" customFormat="false" ht="15.75" hidden="false" customHeight="false" outlineLevel="0" collapsed="false">
      <c r="F523" s="79"/>
    </row>
    <row r="524" customFormat="false" ht="15.75" hidden="false" customHeight="false" outlineLevel="0" collapsed="false">
      <c r="F524" s="79"/>
    </row>
    <row r="525" customFormat="false" ht="15.75" hidden="false" customHeight="false" outlineLevel="0" collapsed="false">
      <c r="F525" s="79"/>
    </row>
    <row r="526" customFormat="false" ht="15.75" hidden="false" customHeight="false" outlineLevel="0" collapsed="false">
      <c r="F526" s="79"/>
    </row>
    <row r="527" customFormat="false" ht="15.75" hidden="false" customHeight="false" outlineLevel="0" collapsed="false">
      <c r="F527" s="79"/>
    </row>
    <row r="528" customFormat="false" ht="15.75" hidden="false" customHeight="false" outlineLevel="0" collapsed="false">
      <c r="F528" s="79"/>
    </row>
    <row r="529" customFormat="false" ht="15.75" hidden="false" customHeight="false" outlineLevel="0" collapsed="false">
      <c r="F529" s="79"/>
    </row>
    <row r="530" customFormat="false" ht="15.75" hidden="false" customHeight="false" outlineLevel="0" collapsed="false">
      <c r="F530" s="79"/>
    </row>
    <row r="531" customFormat="false" ht="15.75" hidden="false" customHeight="false" outlineLevel="0" collapsed="false">
      <c r="F531" s="79"/>
    </row>
    <row r="532" customFormat="false" ht="15.75" hidden="false" customHeight="false" outlineLevel="0" collapsed="false">
      <c r="F532" s="79"/>
    </row>
    <row r="533" customFormat="false" ht="15.75" hidden="false" customHeight="false" outlineLevel="0" collapsed="false">
      <c r="F533" s="79"/>
    </row>
    <row r="534" customFormat="false" ht="15.75" hidden="false" customHeight="false" outlineLevel="0" collapsed="false">
      <c r="F534" s="79"/>
    </row>
    <row r="535" customFormat="false" ht="15.75" hidden="false" customHeight="false" outlineLevel="0" collapsed="false">
      <c r="F535" s="79"/>
    </row>
    <row r="536" customFormat="false" ht="15.75" hidden="false" customHeight="false" outlineLevel="0" collapsed="false">
      <c r="F536" s="79"/>
    </row>
    <row r="537" customFormat="false" ht="15.75" hidden="false" customHeight="false" outlineLevel="0" collapsed="false">
      <c r="F537" s="79"/>
    </row>
    <row r="538" customFormat="false" ht="15.75" hidden="false" customHeight="false" outlineLevel="0" collapsed="false">
      <c r="F538" s="79"/>
    </row>
    <row r="539" customFormat="false" ht="15.75" hidden="false" customHeight="false" outlineLevel="0" collapsed="false">
      <c r="F539" s="79"/>
    </row>
    <row r="540" customFormat="false" ht="15.75" hidden="false" customHeight="false" outlineLevel="0" collapsed="false">
      <c r="F540" s="79"/>
    </row>
    <row r="541" customFormat="false" ht="15.75" hidden="false" customHeight="false" outlineLevel="0" collapsed="false">
      <c r="F541" s="79"/>
    </row>
    <row r="542" customFormat="false" ht="15.75" hidden="false" customHeight="false" outlineLevel="0" collapsed="false">
      <c r="F542" s="79"/>
    </row>
    <row r="543" customFormat="false" ht="15.75" hidden="false" customHeight="false" outlineLevel="0" collapsed="false">
      <c r="F543" s="79"/>
    </row>
    <row r="544" customFormat="false" ht="15.75" hidden="false" customHeight="false" outlineLevel="0" collapsed="false">
      <c r="F544" s="79"/>
    </row>
    <row r="545" customFormat="false" ht="15.75" hidden="false" customHeight="false" outlineLevel="0" collapsed="false">
      <c r="F545" s="79"/>
    </row>
    <row r="546" customFormat="false" ht="15.75" hidden="false" customHeight="false" outlineLevel="0" collapsed="false">
      <c r="F546" s="79"/>
    </row>
    <row r="547" customFormat="false" ht="15.75" hidden="false" customHeight="false" outlineLevel="0" collapsed="false">
      <c r="F547" s="79"/>
    </row>
    <row r="548" customFormat="false" ht="15.75" hidden="false" customHeight="false" outlineLevel="0" collapsed="false">
      <c r="F548" s="79"/>
    </row>
    <row r="549" customFormat="false" ht="15.75" hidden="false" customHeight="false" outlineLevel="0" collapsed="false">
      <c r="F549" s="79"/>
    </row>
    <row r="550" customFormat="false" ht="15.75" hidden="false" customHeight="false" outlineLevel="0" collapsed="false">
      <c r="F550" s="79"/>
    </row>
    <row r="551" customFormat="false" ht="15.75" hidden="false" customHeight="false" outlineLevel="0" collapsed="false">
      <c r="F551" s="79"/>
    </row>
    <row r="552" customFormat="false" ht="15.75" hidden="false" customHeight="false" outlineLevel="0" collapsed="false">
      <c r="F552" s="79"/>
    </row>
    <row r="553" customFormat="false" ht="15.75" hidden="false" customHeight="false" outlineLevel="0" collapsed="false">
      <c r="F553" s="79"/>
    </row>
    <row r="554" customFormat="false" ht="15.75" hidden="false" customHeight="false" outlineLevel="0" collapsed="false">
      <c r="F554" s="79"/>
    </row>
    <row r="555" customFormat="false" ht="15.75" hidden="false" customHeight="false" outlineLevel="0" collapsed="false">
      <c r="F555" s="79"/>
    </row>
    <row r="556" customFormat="false" ht="15.75" hidden="false" customHeight="false" outlineLevel="0" collapsed="false">
      <c r="F556" s="79"/>
    </row>
    <row r="557" customFormat="false" ht="15.75" hidden="false" customHeight="false" outlineLevel="0" collapsed="false">
      <c r="F557" s="79"/>
    </row>
    <row r="558" customFormat="false" ht="15.75" hidden="false" customHeight="false" outlineLevel="0" collapsed="false">
      <c r="F558" s="79"/>
    </row>
    <row r="559" customFormat="false" ht="15.75" hidden="false" customHeight="false" outlineLevel="0" collapsed="false">
      <c r="F559" s="79"/>
    </row>
    <row r="560" customFormat="false" ht="15.75" hidden="false" customHeight="false" outlineLevel="0" collapsed="false">
      <c r="F560" s="79"/>
    </row>
    <row r="561" customFormat="false" ht="15.75" hidden="false" customHeight="false" outlineLevel="0" collapsed="false">
      <c r="F561" s="79"/>
    </row>
    <row r="562" customFormat="false" ht="15.75" hidden="false" customHeight="false" outlineLevel="0" collapsed="false">
      <c r="F562" s="79"/>
    </row>
    <row r="563" customFormat="false" ht="15.75" hidden="false" customHeight="false" outlineLevel="0" collapsed="false">
      <c r="F563" s="79"/>
    </row>
    <row r="564" customFormat="false" ht="15.75" hidden="false" customHeight="false" outlineLevel="0" collapsed="false">
      <c r="F564" s="79"/>
    </row>
    <row r="565" customFormat="false" ht="15.75" hidden="false" customHeight="false" outlineLevel="0" collapsed="false">
      <c r="F565" s="79"/>
    </row>
    <row r="566" customFormat="false" ht="15.75" hidden="false" customHeight="false" outlineLevel="0" collapsed="false">
      <c r="F566" s="79"/>
    </row>
    <row r="567" customFormat="false" ht="15.75" hidden="false" customHeight="false" outlineLevel="0" collapsed="false">
      <c r="F567" s="79"/>
    </row>
    <row r="568" customFormat="false" ht="15.75" hidden="false" customHeight="false" outlineLevel="0" collapsed="false">
      <c r="F568" s="79"/>
    </row>
    <row r="569" customFormat="false" ht="15.75" hidden="false" customHeight="false" outlineLevel="0" collapsed="false">
      <c r="F569" s="79"/>
    </row>
    <row r="570" customFormat="false" ht="15.75" hidden="false" customHeight="false" outlineLevel="0" collapsed="false">
      <c r="F570" s="79"/>
    </row>
    <row r="571" customFormat="false" ht="15.75" hidden="false" customHeight="false" outlineLevel="0" collapsed="false">
      <c r="F571" s="79"/>
    </row>
    <row r="572" customFormat="false" ht="15.75" hidden="false" customHeight="false" outlineLevel="0" collapsed="false">
      <c r="F572" s="79"/>
    </row>
    <row r="573" customFormat="false" ht="15.75" hidden="false" customHeight="false" outlineLevel="0" collapsed="false">
      <c r="F573" s="79"/>
    </row>
    <row r="574" customFormat="false" ht="15.75" hidden="false" customHeight="false" outlineLevel="0" collapsed="false">
      <c r="F574" s="79"/>
    </row>
    <row r="575" customFormat="false" ht="15.75" hidden="false" customHeight="false" outlineLevel="0" collapsed="false">
      <c r="F575" s="79"/>
    </row>
    <row r="576" customFormat="false" ht="15.75" hidden="false" customHeight="false" outlineLevel="0" collapsed="false">
      <c r="F576" s="79"/>
    </row>
    <row r="577" customFormat="false" ht="15.75" hidden="false" customHeight="false" outlineLevel="0" collapsed="false">
      <c r="F577" s="79"/>
    </row>
    <row r="578" customFormat="false" ht="15.75" hidden="false" customHeight="false" outlineLevel="0" collapsed="false">
      <c r="F578" s="79"/>
    </row>
    <row r="579" customFormat="false" ht="15.75" hidden="false" customHeight="false" outlineLevel="0" collapsed="false">
      <c r="F579" s="79"/>
    </row>
    <row r="580" customFormat="false" ht="15.75" hidden="false" customHeight="false" outlineLevel="0" collapsed="false">
      <c r="F580" s="79"/>
    </row>
    <row r="581" customFormat="false" ht="15.75" hidden="false" customHeight="false" outlineLevel="0" collapsed="false">
      <c r="F581" s="79"/>
    </row>
    <row r="582" customFormat="false" ht="15.75" hidden="false" customHeight="false" outlineLevel="0" collapsed="false">
      <c r="F582" s="79"/>
    </row>
    <row r="583" customFormat="false" ht="15.75" hidden="false" customHeight="false" outlineLevel="0" collapsed="false">
      <c r="F583" s="79"/>
    </row>
    <row r="584" customFormat="false" ht="15.75" hidden="false" customHeight="false" outlineLevel="0" collapsed="false">
      <c r="F584" s="79"/>
    </row>
    <row r="585" customFormat="false" ht="15.75" hidden="false" customHeight="false" outlineLevel="0" collapsed="false">
      <c r="F585" s="79"/>
    </row>
    <row r="586" customFormat="false" ht="15.75" hidden="false" customHeight="false" outlineLevel="0" collapsed="false">
      <c r="F586" s="79"/>
    </row>
    <row r="587" customFormat="false" ht="15.75" hidden="false" customHeight="false" outlineLevel="0" collapsed="false">
      <c r="F587" s="79"/>
    </row>
    <row r="588" customFormat="false" ht="15.75" hidden="false" customHeight="false" outlineLevel="0" collapsed="false">
      <c r="F588" s="79"/>
    </row>
    <row r="589" customFormat="false" ht="15.75" hidden="false" customHeight="false" outlineLevel="0" collapsed="false">
      <c r="F589" s="79"/>
    </row>
    <row r="590" customFormat="false" ht="15.75" hidden="false" customHeight="false" outlineLevel="0" collapsed="false">
      <c r="F590" s="79"/>
    </row>
    <row r="591" customFormat="false" ht="15.75" hidden="false" customHeight="false" outlineLevel="0" collapsed="false">
      <c r="F591" s="79"/>
    </row>
    <row r="592" customFormat="false" ht="15.75" hidden="false" customHeight="false" outlineLevel="0" collapsed="false">
      <c r="F592" s="79"/>
    </row>
    <row r="593" customFormat="false" ht="15.75" hidden="false" customHeight="false" outlineLevel="0" collapsed="false">
      <c r="F593" s="79"/>
    </row>
    <row r="594" customFormat="false" ht="15.75" hidden="false" customHeight="false" outlineLevel="0" collapsed="false">
      <c r="F594" s="79"/>
    </row>
    <row r="595" customFormat="false" ht="15.75" hidden="false" customHeight="false" outlineLevel="0" collapsed="false">
      <c r="F595" s="79"/>
    </row>
    <row r="596" customFormat="false" ht="15.75" hidden="false" customHeight="false" outlineLevel="0" collapsed="false">
      <c r="F596" s="79"/>
    </row>
    <row r="597" customFormat="false" ht="15.75" hidden="false" customHeight="false" outlineLevel="0" collapsed="false">
      <c r="F597" s="79"/>
    </row>
    <row r="598" customFormat="false" ht="15.75" hidden="false" customHeight="false" outlineLevel="0" collapsed="false">
      <c r="F598" s="79"/>
    </row>
    <row r="599" customFormat="false" ht="15.75" hidden="false" customHeight="false" outlineLevel="0" collapsed="false">
      <c r="F599" s="79"/>
    </row>
    <row r="600" customFormat="false" ht="15.75" hidden="false" customHeight="false" outlineLevel="0" collapsed="false">
      <c r="F600" s="79"/>
    </row>
    <row r="601" customFormat="false" ht="15.75" hidden="false" customHeight="false" outlineLevel="0" collapsed="false">
      <c r="F601" s="79"/>
    </row>
    <row r="602" customFormat="false" ht="15.75" hidden="false" customHeight="false" outlineLevel="0" collapsed="false">
      <c r="F602" s="79"/>
    </row>
    <row r="603" customFormat="false" ht="15.75" hidden="false" customHeight="false" outlineLevel="0" collapsed="false">
      <c r="F603" s="79"/>
    </row>
    <row r="604" customFormat="false" ht="15.75" hidden="false" customHeight="false" outlineLevel="0" collapsed="false">
      <c r="F604" s="79"/>
    </row>
    <row r="605" customFormat="false" ht="15.75" hidden="false" customHeight="false" outlineLevel="0" collapsed="false">
      <c r="F605" s="79"/>
    </row>
    <row r="606" customFormat="false" ht="15.75" hidden="false" customHeight="false" outlineLevel="0" collapsed="false">
      <c r="F606" s="79"/>
    </row>
    <row r="607" customFormat="false" ht="15.75" hidden="false" customHeight="false" outlineLevel="0" collapsed="false">
      <c r="F607" s="79"/>
    </row>
    <row r="608" customFormat="false" ht="15.75" hidden="false" customHeight="false" outlineLevel="0" collapsed="false">
      <c r="F608" s="79"/>
    </row>
    <row r="609" customFormat="false" ht="15.75" hidden="false" customHeight="false" outlineLevel="0" collapsed="false">
      <c r="F609" s="79"/>
    </row>
    <row r="610" customFormat="false" ht="15.75" hidden="false" customHeight="false" outlineLevel="0" collapsed="false">
      <c r="F610" s="79"/>
    </row>
    <row r="611" customFormat="false" ht="15.75" hidden="false" customHeight="false" outlineLevel="0" collapsed="false">
      <c r="F611" s="79"/>
    </row>
    <row r="612" customFormat="false" ht="15.75" hidden="false" customHeight="false" outlineLevel="0" collapsed="false">
      <c r="F612" s="79"/>
    </row>
    <row r="613" customFormat="false" ht="15.75" hidden="false" customHeight="false" outlineLevel="0" collapsed="false">
      <c r="F613" s="79"/>
    </row>
    <row r="614" customFormat="false" ht="15.75" hidden="false" customHeight="false" outlineLevel="0" collapsed="false">
      <c r="F614" s="79"/>
    </row>
    <row r="615" customFormat="false" ht="15.75" hidden="false" customHeight="false" outlineLevel="0" collapsed="false">
      <c r="F615" s="79"/>
    </row>
    <row r="616" customFormat="false" ht="15.75" hidden="false" customHeight="false" outlineLevel="0" collapsed="false">
      <c r="F616" s="79"/>
    </row>
    <row r="617" customFormat="false" ht="15.75" hidden="false" customHeight="false" outlineLevel="0" collapsed="false">
      <c r="F617" s="79"/>
    </row>
    <row r="618" customFormat="false" ht="15.75" hidden="false" customHeight="false" outlineLevel="0" collapsed="false">
      <c r="F618" s="79"/>
    </row>
    <row r="619" customFormat="false" ht="15.75" hidden="false" customHeight="false" outlineLevel="0" collapsed="false">
      <c r="F619" s="79"/>
    </row>
    <row r="620" customFormat="false" ht="15.75" hidden="false" customHeight="false" outlineLevel="0" collapsed="false">
      <c r="F620" s="79"/>
    </row>
    <row r="621" customFormat="false" ht="15.75" hidden="false" customHeight="false" outlineLevel="0" collapsed="false">
      <c r="F621" s="79"/>
    </row>
    <row r="622" customFormat="false" ht="15.75" hidden="false" customHeight="false" outlineLevel="0" collapsed="false">
      <c r="F622" s="79"/>
    </row>
    <row r="623" customFormat="false" ht="15.75" hidden="false" customHeight="false" outlineLevel="0" collapsed="false">
      <c r="F623" s="79"/>
    </row>
    <row r="624" customFormat="false" ht="15.75" hidden="false" customHeight="false" outlineLevel="0" collapsed="false">
      <c r="F624" s="79"/>
    </row>
    <row r="625" customFormat="false" ht="15.75" hidden="false" customHeight="false" outlineLevel="0" collapsed="false">
      <c r="F625" s="79"/>
    </row>
    <row r="626" customFormat="false" ht="15.75" hidden="false" customHeight="false" outlineLevel="0" collapsed="false">
      <c r="F626" s="79"/>
    </row>
    <row r="627" customFormat="false" ht="15.75" hidden="false" customHeight="false" outlineLevel="0" collapsed="false">
      <c r="F627" s="79"/>
    </row>
    <row r="628" customFormat="false" ht="15.75" hidden="false" customHeight="false" outlineLevel="0" collapsed="false">
      <c r="F628" s="79"/>
    </row>
    <row r="629" customFormat="false" ht="15.75" hidden="false" customHeight="false" outlineLevel="0" collapsed="false">
      <c r="F629" s="79"/>
    </row>
    <row r="630" customFormat="false" ht="15.75" hidden="false" customHeight="false" outlineLevel="0" collapsed="false">
      <c r="F630" s="79"/>
    </row>
    <row r="631" customFormat="false" ht="15.75" hidden="false" customHeight="false" outlineLevel="0" collapsed="false">
      <c r="F631" s="79"/>
    </row>
    <row r="632" customFormat="false" ht="15.75" hidden="false" customHeight="false" outlineLevel="0" collapsed="false">
      <c r="F632" s="79"/>
    </row>
    <row r="633" customFormat="false" ht="15.75" hidden="false" customHeight="false" outlineLevel="0" collapsed="false">
      <c r="F633" s="79"/>
    </row>
    <row r="634" customFormat="false" ht="15.75" hidden="false" customHeight="false" outlineLevel="0" collapsed="false">
      <c r="F634" s="79"/>
    </row>
    <row r="635" customFormat="false" ht="15.75" hidden="false" customHeight="false" outlineLevel="0" collapsed="false">
      <c r="F635" s="79"/>
    </row>
    <row r="636" customFormat="false" ht="15.75" hidden="false" customHeight="false" outlineLevel="0" collapsed="false">
      <c r="F636" s="79"/>
    </row>
    <row r="637" customFormat="false" ht="15.75" hidden="false" customHeight="false" outlineLevel="0" collapsed="false">
      <c r="F637" s="79"/>
    </row>
    <row r="638" customFormat="false" ht="15.75" hidden="false" customHeight="false" outlineLevel="0" collapsed="false">
      <c r="F638" s="79"/>
    </row>
    <row r="639" customFormat="false" ht="15.75" hidden="false" customHeight="false" outlineLevel="0" collapsed="false">
      <c r="F639" s="79"/>
    </row>
    <row r="640" customFormat="false" ht="15.75" hidden="false" customHeight="false" outlineLevel="0" collapsed="false">
      <c r="F640" s="79"/>
    </row>
    <row r="641" customFormat="false" ht="15.75" hidden="false" customHeight="false" outlineLevel="0" collapsed="false">
      <c r="F641" s="79"/>
    </row>
    <row r="642" customFormat="false" ht="15.75" hidden="false" customHeight="false" outlineLevel="0" collapsed="false">
      <c r="F642" s="79"/>
    </row>
    <row r="643" customFormat="false" ht="15.75" hidden="false" customHeight="false" outlineLevel="0" collapsed="false">
      <c r="F643" s="79"/>
    </row>
    <row r="644" customFormat="false" ht="15.75" hidden="false" customHeight="false" outlineLevel="0" collapsed="false">
      <c r="F644" s="79"/>
    </row>
    <row r="645" customFormat="false" ht="15.75" hidden="false" customHeight="false" outlineLevel="0" collapsed="false">
      <c r="F645" s="79"/>
    </row>
    <row r="646" customFormat="false" ht="15.75" hidden="false" customHeight="false" outlineLevel="0" collapsed="false">
      <c r="F646" s="79"/>
    </row>
    <row r="647" customFormat="false" ht="15.75" hidden="false" customHeight="false" outlineLevel="0" collapsed="false">
      <c r="F647" s="79"/>
    </row>
    <row r="648" customFormat="false" ht="15.75" hidden="false" customHeight="false" outlineLevel="0" collapsed="false">
      <c r="F648" s="79"/>
    </row>
    <row r="649" customFormat="false" ht="15.75" hidden="false" customHeight="false" outlineLevel="0" collapsed="false">
      <c r="F649" s="79"/>
    </row>
    <row r="650" customFormat="false" ht="15.75" hidden="false" customHeight="false" outlineLevel="0" collapsed="false">
      <c r="F650" s="79"/>
    </row>
    <row r="651" customFormat="false" ht="15.75" hidden="false" customHeight="false" outlineLevel="0" collapsed="false">
      <c r="F651" s="79"/>
    </row>
    <row r="652" customFormat="false" ht="15.75" hidden="false" customHeight="false" outlineLevel="0" collapsed="false">
      <c r="F652" s="79"/>
    </row>
    <row r="653" customFormat="false" ht="15.75" hidden="false" customHeight="false" outlineLevel="0" collapsed="false">
      <c r="F653" s="79"/>
    </row>
    <row r="654" customFormat="false" ht="15.75" hidden="false" customHeight="false" outlineLevel="0" collapsed="false">
      <c r="F654" s="79"/>
    </row>
    <row r="655" customFormat="false" ht="15.75" hidden="false" customHeight="false" outlineLevel="0" collapsed="false">
      <c r="F655" s="79"/>
    </row>
    <row r="656" customFormat="false" ht="15.75" hidden="false" customHeight="false" outlineLevel="0" collapsed="false">
      <c r="F656" s="79"/>
    </row>
    <row r="657" customFormat="false" ht="15.75" hidden="false" customHeight="false" outlineLevel="0" collapsed="false">
      <c r="F657" s="79"/>
    </row>
    <row r="658" customFormat="false" ht="15.75" hidden="false" customHeight="false" outlineLevel="0" collapsed="false">
      <c r="F658" s="79"/>
    </row>
    <row r="659" customFormat="false" ht="15.75" hidden="false" customHeight="false" outlineLevel="0" collapsed="false">
      <c r="F659" s="79"/>
    </row>
    <row r="660" customFormat="false" ht="15.75" hidden="false" customHeight="false" outlineLevel="0" collapsed="false">
      <c r="F660" s="79"/>
    </row>
    <row r="661" customFormat="false" ht="15.75" hidden="false" customHeight="false" outlineLevel="0" collapsed="false">
      <c r="F661" s="79"/>
    </row>
    <row r="662" customFormat="false" ht="15.75" hidden="false" customHeight="false" outlineLevel="0" collapsed="false">
      <c r="F662" s="79"/>
    </row>
    <row r="663" customFormat="false" ht="15.75" hidden="false" customHeight="false" outlineLevel="0" collapsed="false">
      <c r="F663" s="79"/>
    </row>
    <row r="664" customFormat="false" ht="15.75" hidden="false" customHeight="false" outlineLevel="0" collapsed="false">
      <c r="F664" s="79"/>
    </row>
    <row r="665" customFormat="false" ht="15.75" hidden="false" customHeight="false" outlineLevel="0" collapsed="false">
      <c r="F665" s="79"/>
    </row>
    <row r="666" customFormat="false" ht="15.75" hidden="false" customHeight="false" outlineLevel="0" collapsed="false">
      <c r="F666" s="79"/>
    </row>
    <row r="667" customFormat="false" ht="15.75" hidden="false" customHeight="false" outlineLevel="0" collapsed="false">
      <c r="F667" s="79"/>
    </row>
    <row r="668" customFormat="false" ht="15.75" hidden="false" customHeight="false" outlineLevel="0" collapsed="false">
      <c r="F668" s="79"/>
    </row>
    <row r="669" customFormat="false" ht="15.75" hidden="false" customHeight="false" outlineLevel="0" collapsed="false">
      <c r="F669" s="79"/>
    </row>
    <row r="670" customFormat="false" ht="15.75" hidden="false" customHeight="false" outlineLevel="0" collapsed="false">
      <c r="F670" s="79"/>
    </row>
    <row r="671" customFormat="false" ht="15.75" hidden="false" customHeight="false" outlineLevel="0" collapsed="false">
      <c r="F671" s="79"/>
    </row>
    <row r="672" customFormat="false" ht="15.75" hidden="false" customHeight="false" outlineLevel="0" collapsed="false">
      <c r="F672" s="79"/>
    </row>
    <row r="673" customFormat="false" ht="15.75" hidden="false" customHeight="false" outlineLevel="0" collapsed="false">
      <c r="F673" s="79"/>
    </row>
    <row r="674" customFormat="false" ht="15.75" hidden="false" customHeight="false" outlineLevel="0" collapsed="false">
      <c r="F674" s="79"/>
    </row>
    <row r="675" customFormat="false" ht="15.75" hidden="false" customHeight="false" outlineLevel="0" collapsed="false">
      <c r="F675" s="79"/>
    </row>
    <row r="676" customFormat="false" ht="15.75" hidden="false" customHeight="false" outlineLevel="0" collapsed="false">
      <c r="F676" s="79"/>
    </row>
    <row r="677" customFormat="false" ht="15.75" hidden="false" customHeight="false" outlineLevel="0" collapsed="false">
      <c r="F677" s="79"/>
    </row>
    <row r="678" customFormat="false" ht="15.75" hidden="false" customHeight="false" outlineLevel="0" collapsed="false">
      <c r="F678" s="79"/>
    </row>
    <row r="679" customFormat="false" ht="15.75" hidden="false" customHeight="false" outlineLevel="0" collapsed="false">
      <c r="F679" s="79"/>
    </row>
    <row r="680" customFormat="false" ht="15.75" hidden="false" customHeight="false" outlineLevel="0" collapsed="false">
      <c r="F680" s="79"/>
    </row>
    <row r="681" customFormat="false" ht="15.75" hidden="false" customHeight="false" outlineLevel="0" collapsed="false">
      <c r="F681" s="79"/>
    </row>
    <row r="682" customFormat="false" ht="15.75" hidden="false" customHeight="false" outlineLevel="0" collapsed="false">
      <c r="F682" s="79"/>
    </row>
    <row r="683" customFormat="false" ht="15.75" hidden="false" customHeight="false" outlineLevel="0" collapsed="false">
      <c r="F683" s="79"/>
    </row>
    <row r="684" customFormat="false" ht="15.75" hidden="false" customHeight="false" outlineLevel="0" collapsed="false">
      <c r="F684" s="79"/>
    </row>
    <row r="685" customFormat="false" ht="15.75" hidden="false" customHeight="false" outlineLevel="0" collapsed="false">
      <c r="F685" s="79"/>
    </row>
    <row r="686" customFormat="false" ht="15.75" hidden="false" customHeight="false" outlineLevel="0" collapsed="false">
      <c r="F686" s="79"/>
    </row>
    <row r="687" customFormat="false" ht="15.75" hidden="false" customHeight="false" outlineLevel="0" collapsed="false">
      <c r="F687" s="79"/>
    </row>
    <row r="688" customFormat="false" ht="15.75" hidden="false" customHeight="false" outlineLevel="0" collapsed="false">
      <c r="F688" s="79"/>
    </row>
    <row r="689" customFormat="false" ht="15.75" hidden="false" customHeight="false" outlineLevel="0" collapsed="false">
      <c r="F689" s="79"/>
    </row>
    <row r="690" customFormat="false" ht="15.75" hidden="false" customHeight="false" outlineLevel="0" collapsed="false">
      <c r="F690" s="79"/>
    </row>
    <row r="691" customFormat="false" ht="15.75" hidden="false" customHeight="false" outlineLevel="0" collapsed="false">
      <c r="F691" s="79"/>
    </row>
    <row r="692" customFormat="false" ht="15.75" hidden="false" customHeight="false" outlineLevel="0" collapsed="false">
      <c r="F692" s="79"/>
    </row>
    <row r="693" customFormat="false" ht="15.75" hidden="false" customHeight="false" outlineLevel="0" collapsed="false">
      <c r="F693" s="79"/>
    </row>
    <row r="694" customFormat="false" ht="15.75" hidden="false" customHeight="false" outlineLevel="0" collapsed="false">
      <c r="F694" s="79"/>
    </row>
    <row r="695" customFormat="false" ht="15.75" hidden="false" customHeight="false" outlineLevel="0" collapsed="false">
      <c r="F695" s="79"/>
    </row>
    <row r="696" customFormat="false" ht="15.75" hidden="false" customHeight="false" outlineLevel="0" collapsed="false">
      <c r="F696" s="79"/>
    </row>
    <row r="697" customFormat="false" ht="15.75" hidden="false" customHeight="false" outlineLevel="0" collapsed="false">
      <c r="F697" s="79"/>
    </row>
    <row r="698" customFormat="false" ht="15.75" hidden="false" customHeight="false" outlineLevel="0" collapsed="false">
      <c r="F698" s="79"/>
    </row>
    <row r="699" customFormat="false" ht="15.75" hidden="false" customHeight="false" outlineLevel="0" collapsed="false">
      <c r="F699" s="79"/>
    </row>
    <row r="700" customFormat="false" ht="15.75" hidden="false" customHeight="false" outlineLevel="0" collapsed="false">
      <c r="F700" s="79"/>
    </row>
    <row r="701" customFormat="false" ht="15.75" hidden="false" customHeight="false" outlineLevel="0" collapsed="false">
      <c r="F701" s="79"/>
    </row>
    <row r="702" customFormat="false" ht="15.75" hidden="false" customHeight="false" outlineLevel="0" collapsed="false">
      <c r="F702" s="79"/>
    </row>
    <row r="703" customFormat="false" ht="15.75" hidden="false" customHeight="false" outlineLevel="0" collapsed="false">
      <c r="F703" s="79"/>
    </row>
    <row r="704" customFormat="false" ht="15.75" hidden="false" customHeight="false" outlineLevel="0" collapsed="false">
      <c r="F704" s="79"/>
    </row>
    <row r="705" customFormat="false" ht="15.75" hidden="false" customHeight="false" outlineLevel="0" collapsed="false">
      <c r="F705" s="79"/>
    </row>
    <row r="706" customFormat="false" ht="15.75" hidden="false" customHeight="false" outlineLevel="0" collapsed="false">
      <c r="F706" s="79"/>
    </row>
    <row r="707" customFormat="false" ht="15.75" hidden="false" customHeight="false" outlineLevel="0" collapsed="false">
      <c r="F707" s="79"/>
    </row>
    <row r="708" customFormat="false" ht="15.75" hidden="false" customHeight="false" outlineLevel="0" collapsed="false">
      <c r="F708" s="79"/>
    </row>
    <row r="709" customFormat="false" ht="15.75" hidden="false" customHeight="false" outlineLevel="0" collapsed="false">
      <c r="F709" s="79"/>
    </row>
    <row r="710" customFormat="false" ht="15.75" hidden="false" customHeight="false" outlineLevel="0" collapsed="false">
      <c r="F710" s="79"/>
    </row>
    <row r="711" customFormat="false" ht="15.75" hidden="false" customHeight="false" outlineLevel="0" collapsed="false">
      <c r="F711" s="79"/>
    </row>
    <row r="712" customFormat="false" ht="15.75" hidden="false" customHeight="false" outlineLevel="0" collapsed="false">
      <c r="F712" s="79"/>
    </row>
    <row r="713" customFormat="false" ht="15.75" hidden="false" customHeight="false" outlineLevel="0" collapsed="false">
      <c r="F713" s="79"/>
    </row>
    <row r="714" customFormat="false" ht="15.75" hidden="false" customHeight="false" outlineLevel="0" collapsed="false">
      <c r="F714" s="79"/>
    </row>
    <row r="715" customFormat="false" ht="15.75" hidden="false" customHeight="false" outlineLevel="0" collapsed="false">
      <c r="F715" s="79"/>
    </row>
    <row r="716" customFormat="false" ht="15.75" hidden="false" customHeight="false" outlineLevel="0" collapsed="false">
      <c r="F716" s="79"/>
    </row>
    <row r="717" customFormat="false" ht="15.75" hidden="false" customHeight="false" outlineLevel="0" collapsed="false">
      <c r="F717" s="79"/>
    </row>
    <row r="718" customFormat="false" ht="15.75" hidden="false" customHeight="false" outlineLevel="0" collapsed="false">
      <c r="F718" s="79"/>
    </row>
    <row r="719" customFormat="false" ht="15.75" hidden="false" customHeight="false" outlineLevel="0" collapsed="false">
      <c r="F719" s="79"/>
    </row>
    <row r="720" customFormat="false" ht="15.75" hidden="false" customHeight="false" outlineLevel="0" collapsed="false">
      <c r="F720" s="79"/>
    </row>
    <row r="721" customFormat="false" ht="15.75" hidden="false" customHeight="false" outlineLevel="0" collapsed="false">
      <c r="F721" s="79"/>
    </row>
    <row r="722" customFormat="false" ht="15.75" hidden="false" customHeight="false" outlineLevel="0" collapsed="false">
      <c r="F722" s="79"/>
    </row>
    <row r="723" customFormat="false" ht="15.75" hidden="false" customHeight="false" outlineLevel="0" collapsed="false">
      <c r="F723" s="79"/>
    </row>
    <row r="724" customFormat="false" ht="15.75" hidden="false" customHeight="false" outlineLevel="0" collapsed="false">
      <c r="F724" s="79"/>
    </row>
    <row r="725" customFormat="false" ht="15.75" hidden="false" customHeight="false" outlineLevel="0" collapsed="false">
      <c r="F725" s="79"/>
    </row>
    <row r="726" customFormat="false" ht="15.75" hidden="false" customHeight="false" outlineLevel="0" collapsed="false">
      <c r="F726" s="79"/>
    </row>
    <row r="727" customFormat="false" ht="15.75" hidden="false" customHeight="false" outlineLevel="0" collapsed="false">
      <c r="F727" s="79"/>
    </row>
    <row r="728" customFormat="false" ht="15.75" hidden="false" customHeight="false" outlineLevel="0" collapsed="false">
      <c r="F728" s="79"/>
    </row>
    <row r="729" customFormat="false" ht="15.75" hidden="false" customHeight="false" outlineLevel="0" collapsed="false">
      <c r="F729" s="79"/>
    </row>
    <row r="730" customFormat="false" ht="15.75" hidden="false" customHeight="false" outlineLevel="0" collapsed="false">
      <c r="F730" s="79"/>
    </row>
    <row r="731" customFormat="false" ht="15.75" hidden="false" customHeight="false" outlineLevel="0" collapsed="false">
      <c r="F731" s="79"/>
    </row>
    <row r="732" customFormat="false" ht="15.75" hidden="false" customHeight="false" outlineLevel="0" collapsed="false">
      <c r="F732" s="79"/>
    </row>
    <row r="733" customFormat="false" ht="15.75" hidden="false" customHeight="false" outlineLevel="0" collapsed="false">
      <c r="F733" s="79"/>
    </row>
    <row r="734" customFormat="false" ht="15.75" hidden="false" customHeight="false" outlineLevel="0" collapsed="false">
      <c r="F734" s="79"/>
    </row>
    <row r="735" customFormat="false" ht="15.75" hidden="false" customHeight="false" outlineLevel="0" collapsed="false">
      <c r="F735" s="79"/>
    </row>
    <row r="736" customFormat="false" ht="15.75" hidden="false" customHeight="false" outlineLevel="0" collapsed="false">
      <c r="F736" s="79"/>
    </row>
    <row r="737" customFormat="false" ht="15.75" hidden="false" customHeight="false" outlineLevel="0" collapsed="false">
      <c r="F737" s="79"/>
    </row>
    <row r="738" customFormat="false" ht="15.75" hidden="false" customHeight="false" outlineLevel="0" collapsed="false">
      <c r="F738" s="79"/>
    </row>
    <row r="739" customFormat="false" ht="15.75" hidden="false" customHeight="false" outlineLevel="0" collapsed="false">
      <c r="F739" s="79"/>
    </row>
    <row r="740" customFormat="false" ht="15.75" hidden="false" customHeight="false" outlineLevel="0" collapsed="false">
      <c r="F740" s="79"/>
    </row>
    <row r="741" customFormat="false" ht="15.75" hidden="false" customHeight="false" outlineLevel="0" collapsed="false">
      <c r="F741" s="79"/>
    </row>
    <row r="742" customFormat="false" ht="15.75" hidden="false" customHeight="false" outlineLevel="0" collapsed="false">
      <c r="F742" s="79"/>
    </row>
    <row r="743" customFormat="false" ht="15.75" hidden="false" customHeight="false" outlineLevel="0" collapsed="false">
      <c r="F743" s="79"/>
    </row>
    <row r="744" customFormat="false" ht="15.75" hidden="false" customHeight="false" outlineLevel="0" collapsed="false">
      <c r="F744" s="79"/>
    </row>
    <row r="745" customFormat="false" ht="15.75" hidden="false" customHeight="false" outlineLevel="0" collapsed="false">
      <c r="F745" s="79"/>
    </row>
    <row r="746" customFormat="false" ht="15.75" hidden="false" customHeight="false" outlineLevel="0" collapsed="false">
      <c r="F746" s="79"/>
    </row>
    <row r="747" customFormat="false" ht="15.75" hidden="false" customHeight="false" outlineLevel="0" collapsed="false">
      <c r="F747" s="79"/>
    </row>
    <row r="748" customFormat="false" ht="15.75" hidden="false" customHeight="false" outlineLevel="0" collapsed="false">
      <c r="F748" s="79"/>
    </row>
    <row r="749" customFormat="false" ht="15.75" hidden="false" customHeight="false" outlineLevel="0" collapsed="false">
      <c r="F749" s="79"/>
    </row>
    <row r="750" customFormat="false" ht="15.75" hidden="false" customHeight="false" outlineLevel="0" collapsed="false">
      <c r="F750" s="79"/>
    </row>
    <row r="751" customFormat="false" ht="15.75" hidden="false" customHeight="false" outlineLevel="0" collapsed="false">
      <c r="F751" s="79"/>
    </row>
    <row r="752" customFormat="false" ht="15.75" hidden="false" customHeight="false" outlineLevel="0" collapsed="false">
      <c r="F752" s="79"/>
    </row>
    <row r="753" customFormat="false" ht="15.75" hidden="false" customHeight="false" outlineLevel="0" collapsed="false">
      <c r="F753" s="79"/>
    </row>
    <row r="754" customFormat="false" ht="15.75" hidden="false" customHeight="false" outlineLevel="0" collapsed="false">
      <c r="F754" s="79"/>
    </row>
    <row r="755" customFormat="false" ht="15.75" hidden="false" customHeight="false" outlineLevel="0" collapsed="false">
      <c r="F755" s="79"/>
    </row>
    <row r="756" customFormat="false" ht="15.75" hidden="false" customHeight="false" outlineLevel="0" collapsed="false">
      <c r="F756" s="79"/>
    </row>
    <row r="757" customFormat="false" ht="15.75" hidden="false" customHeight="false" outlineLevel="0" collapsed="false">
      <c r="F757" s="79"/>
    </row>
    <row r="758" customFormat="false" ht="15.75" hidden="false" customHeight="false" outlineLevel="0" collapsed="false">
      <c r="F758" s="79"/>
    </row>
    <row r="759" customFormat="false" ht="15.75" hidden="false" customHeight="false" outlineLevel="0" collapsed="false">
      <c r="F759" s="79"/>
    </row>
    <row r="760" customFormat="false" ht="15.75" hidden="false" customHeight="false" outlineLevel="0" collapsed="false">
      <c r="F760" s="79"/>
    </row>
    <row r="761" customFormat="false" ht="15.75" hidden="false" customHeight="false" outlineLevel="0" collapsed="false">
      <c r="F761" s="79"/>
    </row>
    <row r="762" customFormat="false" ht="15.75" hidden="false" customHeight="false" outlineLevel="0" collapsed="false">
      <c r="F762" s="79"/>
    </row>
    <row r="763" customFormat="false" ht="15.75" hidden="false" customHeight="false" outlineLevel="0" collapsed="false">
      <c r="F763" s="79"/>
    </row>
    <row r="764" customFormat="false" ht="15.75" hidden="false" customHeight="false" outlineLevel="0" collapsed="false">
      <c r="F764" s="79"/>
    </row>
    <row r="765" customFormat="false" ht="15.75" hidden="false" customHeight="false" outlineLevel="0" collapsed="false">
      <c r="F765" s="79"/>
    </row>
    <row r="766" customFormat="false" ht="15.75" hidden="false" customHeight="false" outlineLevel="0" collapsed="false">
      <c r="F766" s="79"/>
    </row>
    <row r="767" customFormat="false" ht="15.75" hidden="false" customHeight="false" outlineLevel="0" collapsed="false">
      <c r="F767" s="79"/>
    </row>
    <row r="768" customFormat="false" ht="15.75" hidden="false" customHeight="false" outlineLevel="0" collapsed="false">
      <c r="F768" s="79"/>
    </row>
    <row r="769" customFormat="false" ht="15.75" hidden="false" customHeight="false" outlineLevel="0" collapsed="false">
      <c r="F769" s="79"/>
    </row>
  </sheetData>
  <mergeCells count="13">
    <mergeCell ref="A2:H2"/>
    <mergeCell ref="A3:A10"/>
    <mergeCell ref="F3:F10"/>
    <mergeCell ref="G3:G10"/>
    <mergeCell ref="H3:H10"/>
    <mergeCell ref="A11:A18"/>
    <mergeCell ref="F11:F18"/>
    <mergeCell ref="G11:G18"/>
    <mergeCell ref="H11:H18"/>
    <mergeCell ref="A19:A26"/>
    <mergeCell ref="F19:F26"/>
    <mergeCell ref="G19:G26"/>
    <mergeCell ref="H19:H26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025" min="1" style="0" width="12.63"/>
  </cols>
  <sheetData>
    <row r="1" customFormat="false" ht="15.75" hidden="false" customHeight="false" outlineLevel="0" collapsed="false">
      <c r="D1" s="73" t="s">
        <v>3</v>
      </c>
      <c r="E1" s="73" t="s">
        <v>4</v>
      </c>
      <c r="F1" s="73" t="s">
        <v>5</v>
      </c>
      <c r="G1" s="73" t="s">
        <v>6</v>
      </c>
      <c r="H1" s="75" t="s">
        <v>7</v>
      </c>
    </row>
    <row r="2" customFormat="false" ht="15.75" hidden="false" customHeight="false" outlineLevel="0" collapsed="false">
      <c r="A2" s="37" t="s">
        <v>806</v>
      </c>
      <c r="B2" s="37" t="s">
        <v>70</v>
      </c>
      <c r="C2" s="37" t="n">
        <v>40</v>
      </c>
      <c r="D2" s="76" t="n">
        <v>494.45</v>
      </c>
      <c r="E2" s="76" t="n">
        <f aca="false">D2/1000*C2</f>
        <v>19.778</v>
      </c>
      <c r="F2" s="54" t="n">
        <f aca="false">SUM(E2:E7)</f>
        <v>64.165</v>
      </c>
      <c r="G2" s="55"/>
      <c r="H2" s="54" t="n">
        <f aca="false">(G2-F2)/F2*100</f>
        <v>-100</v>
      </c>
    </row>
    <row r="3" customFormat="false" ht="15.75" hidden="false" customHeight="false" outlineLevel="0" collapsed="false">
      <c r="B3" s="37" t="s">
        <v>807</v>
      </c>
      <c r="C3" s="37" t="n">
        <v>20</v>
      </c>
      <c r="D3" s="7" t="n">
        <v>1280</v>
      </c>
      <c r="E3" s="76" t="n">
        <f aca="false">D3/1000*C3</f>
        <v>25.6</v>
      </c>
      <c r="F3" s="54"/>
      <c r="G3" s="54"/>
      <c r="H3" s="54"/>
    </row>
    <row r="4" customFormat="false" ht="15.75" hidden="false" customHeight="false" outlineLevel="0" collapsed="false">
      <c r="B4" s="37" t="s">
        <v>40</v>
      </c>
      <c r="C4" s="37" t="n">
        <v>10</v>
      </c>
      <c r="D4" s="80" t="n">
        <v>395</v>
      </c>
      <c r="E4" s="76" t="n">
        <f aca="false">D4/1000*C4</f>
        <v>3.95</v>
      </c>
      <c r="F4" s="54"/>
      <c r="G4" s="54"/>
      <c r="H4" s="54"/>
    </row>
    <row r="5" customFormat="false" ht="15.75" hidden="false" customHeight="false" outlineLevel="0" collapsed="false">
      <c r="B5" s="37" t="s">
        <v>60</v>
      </c>
      <c r="C5" s="37" t="n">
        <v>15</v>
      </c>
      <c r="D5" s="81" t="n">
        <v>250</v>
      </c>
      <c r="E5" s="76" t="n">
        <f aca="false">D5/1000*C5</f>
        <v>3.75</v>
      </c>
      <c r="F5" s="54"/>
      <c r="G5" s="54"/>
      <c r="H5" s="54"/>
    </row>
    <row r="6" customFormat="false" ht="15.75" hidden="false" customHeight="false" outlineLevel="0" collapsed="false">
      <c r="B6" s="37" t="s">
        <v>808</v>
      </c>
      <c r="C6" s="37" t="n">
        <v>100</v>
      </c>
      <c r="D6" s="76" t="n">
        <v>73.37</v>
      </c>
      <c r="E6" s="76" t="n">
        <f aca="false">D6/1000*C6</f>
        <v>7.337</v>
      </c>
      <c r="F6" s="54"/>
      <c r="G6" s="54"/>
      <c r="H6" s="54"/>
    </row>
    <row r="7" customFormat="false" ht="15.75" hidden="false" customHeight="false" outlineLevel="0" collapsed="false">
      <c r="B7" s="37" t="s">
        <v>68</v>
      </c>
      <c r="C7" s="37" t="n">
        <v>15</v>
      </c>
      <c r="D7" s="81" t="n">
        <v>250</v>
      </c>
      <c r="E7" s="76" t="n">
        <f aca="false">D7/1000*C7</f>
        <v>3.75</v>
      </c>
      <c r="F7" s="54"/>
      <c r="G7" s="54"/>
      <c r="H7" s="54"/>
    </row>
    <row r="8" customFormat="false" ht="15.75" hidden="false" customHeight="false" outlineLevel="0" collapsed="false">
      <c r="D8" s="80"/>
      <c r="E8" s="76" t="n">
        <f aca="false">D8/1000*C8</f>
        <v>0</v>
      </c>
    </row>
    <row r="9" customFormat="false" ht="15.75" hidden="false" customHeight="false" outlineLevel="0" collapsed="false">
      <c r="A9" s="37" t="s">
        <v>809</v>
      </c>
      <c r="B9" s="37" t="s">
        <v>810</v>
      </c>
      <c r="C9" s="37" t="n">
        <v>40</v>
      </c>
      <c r="D9" s="76" t="n">
        <v>778.3</v>
      </c>
      <c r="E9" s="76" t="n">
        <f aca="false">D9/1000*C9</f>
        <v>31.132</v>
      </c>
      <c r="F9" s="54" t="n">
        <f aca="false">SUM(E9:E15)</f>
        <v>105.732</v>
      </c>
      <c r="G9" s="55"/>
      <c r="H9" s="54" t="n">
        <f aca="false">(G9-F9)/F9*100</f>
        <v>-100</v>
      </c>
    </row>
    <row r="10" customFormat="false" ht="14.25" hidden="false" customHeight="true" outlineLevel="0" collapsed="false">
      <c r="B10" s="37" t="s">
        <v>811</v>
      </c>
      <c r="C10" s="37" t="n">
        <v>20</v>
      </c>
      <c r="D10" s="7" t="n">
        <v>1280</v>
      </c>
      <c r="E10" s="76" t="n">
        <f aca="false">D10/1000*C10</f>
        <v>25.6</v>
      </c>
      <c r="F10" s="54"/>
      <c r="G10" s="54"/>
      <c r="H10" s="54"/>
    </row>
    <row r="11" customFormat="false" ht="15.75" hidden="false" customHeight="false" outlineLevel="0" collapsed="false">
      <c r="B11" s="37" t="s">
        <v>812</v>
      </c>
      <c r="C11" s="37" t="n">
        <v>10</v>
      </c>
      <c r="D11" s="80" t="n">
        <v>395</v>
      </c>
      <c r="E11" s="76" t="n">
        <f aca="false">D11/1000*C11</f>
        <v>3.95</v>
      </c>
      <c r="F11" s="54"/>
      <c r="G11" s="54"/>
      <c r="H11" s="54"/>
    </row>
    <row r="12" customFormat="false" ht="15.75" hidden="false" customHeight="false" outlineLevel="0" collapsed="false">
      <c r="B12" s="37" t="s">
        <v>240</v>
      </c>
      <c r="C12" s="37" t="n">
        <v>20</v>
      </c>
      <c r="D12" s="80" t="n">
        <v>900</v>
      </c>
      <c r="E12" s="76" t="n">
        <f aca="false">D12/1000*C12</f>
        <v>18</v>
      </c>
      <c r="F12" s="54"/>
      <c r="G12" s="54"/>
      <c r="H12" s="54"/>
    </row>
    <row r="13" customFormat="false" ht="15.75" hidden="false" customHeight="false" outlineLevel="0" collapsed="false">
      <c r="B13" s="37" t="s">
        <v>66</v>
      </c>
      <c r="C13" s="37" t="n">
        <v>55</v>
      </c>
      <c r="D13" s="81" t="n">
        <v>250</v>
      </c>
      <c r="E13" s="76" t="n">
        <f aca="false">D13/1000*C13</f>
        <v>13.75</v>
      </c>
      <c r="F13" s="54"/>
      <c r="G13" s="54"/>
      <c r="H13" s="54"/>
    </row>
    <row r="14" customFormat="false" ht="15.75" hidden="false" customHeight="false" outlineLevel="0" collapsed="false">
      <c r="B14" s="37" t="s">
        <v>104</v>
      </c>
      <c r="C14" s="37" t="n">
        <v>100</v>
      </c>
      <c r="D14" s="76" t="n">
        <v>133</v>
      </c>
      <c r="E14" s="76" t="n">
        <f aca="false">D14/1000*C14</f>
        <v>13.3</v>
      </c>
      <c r="F14" s="54"/>
      <c r="G14" s="54"/>
      <c r="H14" s="54"/>
    </row>
    <row r="15" customFormat="false" ht="15.75" hidden="false" customHeight="false" outlineLevel="0" collapsed="false">
      <c r="B15" s="37" t="s">
        <v>62</v>
      </c>
      <c r="D15" s="80"/>
      <c r="E15" s="76" t="n">
        <f aca="false">D15/1000*C15</f>
        <v>0</v>
      </c>
      <c r="F15" s="54"/>
      <c r="G15" s="54"/>
      <c r="H15" s="54"/>
    </row>
    <row r="16" customFormat="false" ht="15.75" hidden="false" customHeight="false" outlineLevel="0" collapsed="false">
      <c r="D16" s="80"/>
      <c r="E16" s="76" t="n">
        <f aca="false">D16/1000*C16</f>
        <v>0</v>
      </c>
    </row>
    <row r="17" customFormat="false" ht="15.75" hidden="false" customHeight="false" outlineLevel="0" collapsed="false">
      <c r="A17" s="37" t="s">
        <v>813</v>
      </c>
      <c r="B17" s="37" t="s">
        <v>70</v>
      </c>
      <c r="C17" s="37" t="n">
        <v>40</v>
      </c>
      <c r="D17" s="76" t="n">
        <v>494.45</v>
      </c>
      <c r="E17" s="76" t="n">
        <f aca="false">D17/1000*C17</f>
        <v>19.778</v>
      </c>
      <c r="F17" s="54" t="n">
        <f aca="false">SUM(E17:E21)</f>
        <v>91.34832</v>
      </c>
      <c r="G17" s="55"/>
      <c r="H17" s="54" t="n">
        <f aca="false">(G17-F17)/F17*100</f>
        <v>-100</v>
      </c>
    </row>
    <row r="18" customFormat="false" ht="14.25" hidden="false" customHeight="true" outlineLevel="0" collapsed="false">
      <c r="B18" s="37" t="s">
        <v>814</v>
      </c>
      <c r="C18" s="37" t="n">
        <v>20</v>
      </c>
      <c r="D18" s="7" t="n">
        <v>1280</v>
      </c>
      <c r="E18" s="76" t="n">
        <f aca="false">D18/1000*C18</f>
        <v>25.6</v>
      </c>
      <c r="F18" s="54"/>
      <c r="G18" s="54"/>
      <c r="H18" s="54"/>
    </row>
    <row r="19" customFormat="false" ht="15.75" hidden="false" customHeight="false" outlineLevel="0" collapsed="false">
      <c r="B19" s="37" t="s">
        <v>240</v>
      </c>
      <c r="C19" s="37" t="n">
        <v>20</v>
      </c>
      <c r="D19" s="80" t="n">
        <v>900</v>
      </c>
      <c r="E19" s="76" t="n">
        <f aca="false">D19/1000*C19</f>
        <v>18</v>
      </c>
      <c r="F19" s="54"/>
      <c r="G19" s="54"/>
      <c r="H19" s="54"/>
    </row>
    <row r="20" customFormat="false" ht="15.75" hidden="false" customHeight="false" outlineLevel="0" collapsed="false">
      <c r="B20" s="37" t="s">
        <v>60</v>
      </c>
      <c r="C20" s="37" t="n">
        <v>45</v>
      </c>
      <c r="D20" s="81" t="n">
        <v>250</v>
      </c>
      <c r="E20" s="76" t="n">
        <f aca="false">D20/1000*C20</f>
        <v>11.25</v>
      </c>
      <c r="F20" s="54"/>
      <c r="G20" s="54"/>
      <c r="H20" s="54"/>
    </row>
    <row r="21" customFormat="false" ht="15.75" hidden="false" customHeight="false" outlineLevel="0" collapsed="false">
      <c r="B21" s="37" t="s">
        <v>815</v>
      </c>
      <c r="C21" s="37" t="n">
        <v>60</v>
      </c>
      <c r="D21" s="76" t="n">
        <v>278.672</v>
      </c>
      <c r="E21" s="76" t="n">
        <f aca="false">D21/1000*C21</f>
        <v>16.72032</v>
      </c>
      <c r="F21" s="54"/>
      <c r="G21" s="54"/>
      <c r="H21" s="54"/>
    </row>
    <row r="22" customFormat="false" ht="15.75" hidden="false" customHeight="false" outlineLevel="0" collapsed="false">
      <c r="B22" s="37" t="s">
        <v>62</v>
      </c>
      <c r="D22" s="80"/>
      <c r="E22" s="76" t="n">
        <f aca="false">D22/1000*C22</f>
        <v>0</v>
      </c>
      <c r="F22" s="54"/>
      <c r="G22" s="54"/>
      <c r="H22" s="54"/>
    </row>
    <row r="23" customFormat="false" ht="15.75" hidden="false" customHeight="false" outlineLevel="0" collapsed="false">
      <c r="D23" s="80"/>
      <c r="E23" s="76" t="n">
        <f aca="false">D23/1000*C23</f>
        <v>0</v>
      </c>
    </row>
    <row r="24" customFormat="false" ht="15.75" hidden="false" customHeight="false" outlineLevel="0" collapsed="false">
      <c r="A24" s="37" t="s">
        <v>816</v>
      </c>
      <c r="B24" s="37" t="s">
        <v>817</v>
      </c>
      <c r="C24" s="37" t="n">
        <v>40</v>
      </c>
      <c r="D24" s="76" t="n">
        <v>823.82</v>
      </c>
      <c r="E24" s="76" t="n">
        <f aca="false">D24/1000*C24</f>
        <v>32.9528</v>
      </c>
      <c r="F24" s="54" t="n">
        <f aca="false">SUM(E24:E28)</f>
        <v>87.2091</v>
      </c>
      <c r="G24" s="55"/>
      <c r="H24" s="54" t="n">
        <f aca="false">(G24-F24)/F24*100</f>
        <v>-100</v>
      </c>
    </row>
    <row r="25" customFormat="false" ht="15.75" hidden="false" customHeight="false" outlineLevel="0" collapsed="false">
      <c r="B25" s="37" t="s">
        <v>818</v>
      </c>
      <c r="C25" s="37" t="n">
        <v>30</v>
      </c>
      <c r="D25" s="76" t="n">
        <v>886.71</v>
      </c>
      <c r="E25" s="76" t="n">
        <f aca="false">D25/1000*C25</f>
        <v>26.6013</v>
      </c>
      <c r="F25" s="54"/>
      <c r="G25" s="54"/>
      <c r="H25" s="54"/>
    </row>
    <row r="26" customFormat="false" ht="14.25" hidden="false" customHeight="true" outlineLevel="0" collapsed="false">
      <c r="B26" s="37" t="s">
        <v>41</v>
      </c>
      <c r="C26" s="37" t="n">
        <v>15</v>
      </c>
      <c r="D26" s="80" t="n">
        <v>395</v>
      </c>
      <c r="E26" s="76" t="n">
        <f aca="false">D26/1000*C26</f>
        <v>5.925</v>
      </c>
      <c r="F26" s="54"/>
      <c r="G26" s="54"/>
      <c r="H26" s="54"/>
    </row>
    <row r="27" customFormat="false" ht="15.75" hidden="false" customHeight="false" outlineLevel="0" collapsed="false">
      <c r="B27" s="37" t="s">
        <v>66</v>
      </c>
      <c r="C27" s="37" t="n">
        <v>55</v>
      </c>
      <c r="D27" s="81" t="n">
        <v>250</v>
      </c>
      <c r="E27" s="76" t="n">
        <f aca="false">D27/1000*C27</f>
        <v>13.75</v>
      </c>
      <c r="F27" s="54"/>
      <c r="G27" s="54"/>
      <c r="H27" s="54"/>
    </row>
    <row r="28" customFormat="false" ht="15.75" hidden="false" customHeight="false" outlineLevel="0" collapsed="false">
      <c r="B28" s="37" t="s">
        <v>233</v>
      </c>
      <c r="C28" s="37" t="n">
        <v>60</v>
      </c>
      <c r="D28" s="76" t="n">
        <v>133</v>
      </c>
      <c r="E28" s="76" t="n">
        <f aca="false">D28/1000*C28</f>
        <v>7.98</v>
      </c>
      <c r="F28" s="54"/>
      <c r="G28" s="54"/>
      <c r="H28" s="54"/>
    </row>
    <row r="29" customFormat="false" ht="15.75" hidden="false" customHeight="false" outlineLevel="0" collapsed="false">
      <c r="B29" s="37" t="s">
        <v>62</v>
      </c>
      <c r="D29" s="80"/>
      <c r="E29" s="76" t="n">
        <f aca="false">D29/1000*C29</f>
        <v>0</v>
      </c>
      <c r="F29" s="54"/>
      <c r="G29" s="54"/>
      <c r="H29" s="54"/>
    </row>
    <row r="30" customFormat="false" ht="15.75" hidden="false" customHeight="false" outlineLevel="0" collapsed="false">
      <c r="D30" s="80"/>
      <c r="E30" s="76" t="n">
        <f aca="false">D30/1000*C30</f>
        <v>0</v>
      </c>
    </row>
    <row r="31" customFormat="false" ht="15.75" hidden="false" customHeight="false" outlineLevel="0" collapsed="false">
      <c r="A31" s="37" t="s">
        <v>819</v>
      </c>
      <c r="B31" s="37" t="s">
        <v>820</v>
      </c>
      <c r="C31" s="37" t="n">
        <v>30</v>
      </c>
      <c r="D31" s="76" t="n">
        <v>823.82</v>
      </c>
      <c r="E31" s="76" t="n">
        <f aca="false">D31/1000*C31</f>
        <v>24.7146</v>
      </c>
      <c r="F31" s="54" t="n">
        <f aca="false">SUM(E31:E37)</f>
        <v>67.9454</v>
      </c>
      <c r="G31" s="55"/>
      <c r="H31" s="54" t="n">
        <f aca="false">(G31-F31)/F31*100</f>
        <v>-100</v>
      </c>
    </row>
    <row r="32" customFormat="false" ht="15.75" hidden="false" customHeight="false" outlineLevel="0" collapsed="false">
      <c r="B32" s="37" t="s">
        <v>821</v>
      </c>
      <c r="C32" s="37" t="n">
        <v>10</v>
      </c>
      <c r="D32" s="76" t="n">
        <v>1209.08</v>
      </c>
      <c r="E32" s="76" t="n">
        <f aca="false">D32/1000*C32</f>
        <v>12.0908</v>
      </c>
      <c r="F32" s="54"/>
      <c r="G32" s="54"/>
      <c r="H32" s="54"/>
    </row>
    <row r="33" customFormat="false" ht="15.75" hidden="false" customHeight="false" outlineLevel="0" collapsed="false">
      <c r="B33" s="37" t="s">
        <v>822</v>
      </c>
      <c r="C33" s="37" t="n">
        <v>10</v>
      </c>
      <c r="D33" s="7" t="n">
        <v>1280</v>
      </c>
      <c r="E33" s="76" t="n">
        <f aca="false">D33/1000*C33</f>
        <v>12.8</v>
      </c>
      <c r="F33" s="54"/>
      <c r="G33" s="54"/>
      <c r="H33" s="54"/>
    </row>
    <row r="34" customFormat="false" ht="15.75" hidden="false" customHeight="false" outlineLevel="0" collapsed="false">
      <c r="B34" s="37" t="s">
        <v>40</v>
      </c>
      <c r="C34" s="37" t="n">
        <v>10</v>
      </c>
      <c r="D34" s="80" t="n">
        <v>395</v>
      </c>
      <c r="E34" s="76" t="n">
        <f aca="false">D34/1000*C34</f>
        <v>3.95</v>
      </c>
      <c r="F34" s="54"/>
      <c r="G34" s="54"/>
      <c r="H34" s="54"/>
    </row>
    <row r="35" customFormat="false" ht="15.75" hidden="false" customHeight="false" outlineLevel="0" collapsed="false">
      <c r="B35" s="37" t="s">
        <v>823</v>
      </c>
      <c r="C35" s="37" t="n">
        <v>40</v>
      </c>
      <c r="D35" s="76" t="n">
        <v>133</v>
      </c>
      <c r="E35" s="76" t="n">
        <f aca="false">D35/1000*C35</f>
        <v>5.32</v>
      </c>
      <c r="F35" s="54"/>
      <c r="G35" s="54"/>
      <c r="H35" s="54"/>
    </row>
    <row r="36" customFormat="false" ht="15.75" hidden="false" customHeight="false" outlineLevel="0" collapsed="false">
      <c r="B36" s="37" t="s">
        <v>255</v>
      </c>
      <c r="C36" s="37" t="n">
        <v>40</v>
      </c>
      <c r="D36" s="76" t="n">
        <v>133</v>
      </c>
      <c r="E36" s="76" t="n">
        <f aca="false">D36/1000*C36</f>
        <v>5.32</v>
      </c>
      <c r="F36" s="54"/>
      <c r="G36" s="54"/>
      <c r="H36" s="54"/>
    </row>
    <row r="37" customFormat="false" ht="15.75" hidden="false" customHeight="false" outlineLevel="0" collapsed="false">
      <c r="B37" s="37" t="s">
        <v>62</v>
      </c>
      <c r="C37" s="37" t="n">
        <v>15</v>
      </c>
      <c r="D37" s="81" t="n">
        <v>250</v>
      </c>
      <c r="E37" s="76" t="n">
        <f aca="false">D37/1000*C37</f>
        <v>3.75</v>
      </c>
      <c r="F37" s="54"/>
      <c r="G37" s="54"/>
      <c r="H37" s="54"/>
    </row>
    <row r="38" customFormat="false" ht="15.75" hidden="false" customHeight="false" outlineLevel="0" collapsed="false">
      <c r="D38" s="80"/>
      <c r="E38" s="76" t="n">
        <f aca="false">D38/1000*C38</f>
        <v>0</v>
      </c>
    </row>
    <row r="39" customFormat="false" ht="15.75" hidden="false" customHeight="false" outlineLevel="0" collapsed="false">
      <c r="A39" s="37" t="s">
        <v>824</v>
      </c>
      <c r="B39" s="37" t="s">
        <v>825</v>
      </c>
      <c r="C39" s="37" t="n">
        <v>30</v>
      </c>
      <c r="D39" s="76" t="n">
        <v>1547.94</v>
      </c>
      <c r="E39" s="76" t="n">
        <f aca="false">D39/1000*C39</f>
        <v>46.4382</v>
      </c>
      <c r="F39" s="54" t="n">
        <f aca="false">SUM(E39:E42)</f>
        <v>87.4952</v>
      </c>
      <c r="G39" s="55"/>
      <c r="H39" s="54" t="n">
        <f aca="false">(G39-F39)/F39*100</f>
        <v>-100</v>
      </c>
    </row>
    <row r="40" customFormat="false" ht="15.75" hidden="false" customHeight="false" outlineLevel="0" collapsed="false">
      <c r="B40" s="37" t="s">
        <v>814</v>
      </c>
      <c r="C40" s="37" t="n">
        <v>20</v>
      </c>
      <c r="D40" s="7" t="n">
        <v>1280</v>
      </c>
      <c r="E40" s="76" t="n">
        <f aca="false">D40/1000*C40</f>
        <v>25.6</v>
      </c>
      <c r="F40" s="54"/>
      <c r="G40" s="54"/>
      <c r="H40" s="54"/>
    </row>
    <row r="41" customFormat="false" ht="15.75" hidden="false" customHeight="false" outlineLevel="0" collapsed="false">
      <c r="B41" s="37" t="s">
        <v>826</v>
      </c>
      <c r="C41" s="37" t="n">
        <v>15</v>
      </c>
      <c r="D41" s="80" t="n">
        <v>395</v>
      </c>
      <c r="E41" s="76" t="n">
        <f aca="false">D41/1000*C41</f>
        <v>5.925</v>
      </c>
      <c r="F41" s="54"/>
      <c r="G41" s="54"/>
      <c r="H41" s="54"/>
    </row>
    <row r="42" customFormat="false" ht="15.75" hidden="false" customHeight="false" outlineLevel="0" collapsed="false">
      <c r="B42" s="37" t="s">
        <v>82</v>
      </c>
      <c r="C42" s="37" t="n">
        <v>40</v>
      </c>
      <c r="D42" s="76" t="n">
        <v>238.3</v>
      </c>
      <c r="E42" s="76" t="n">
        <f aca="false">D42/1000*C42</f>
        <v>9.532</v>
      </c>
      <c r="F42" s="54"/>
      <c r="G42" s="54"/>
      <c r="H42" s="54"/>
    </row>
    <row r="43" customFormat="false" ht="15.75" hidden="false" customHeight="false" outlineLevel="0" collapsed="false">
      <c r="D43" s="80"/>
      <c r="E43" s="76" t="n">
        <f aca="false">D43/1000*C43</f>
        <v>0</v>
      </c>
    </row>
    <row r="44" customFormat="false" ht="15.75" hidden="false" customHeight="false" outlineLevel="0" collapsed="false">
      <c r="A44" s="37" t="s">
        <v>827</v>
      </c>
      <c r="B44" s="37" t="s">
        <v>810</v>
      </c>
      <c r="C44" s="37" t="n">
        <v>40</v>
      </c>
      <c r="D44" s="76" t="n">
        <v>778.3</v>
      </c>
      <c r="E44" s="76" t="n">
        <f aca="false">D44/1000*C44</f>
        <v>31.132</v>
      </c>
      <c r="F44" s="54" t="n">
        <f aca="false">SUM(E44:E47)</f>
        <v>118.132</v>
      </c>
      <c r="G44" s="55"/>
      <c r="H44" s="54" t="n">
        <f aca="false">(G44-F44)/F44*100</f>
        <v>-100</v>
      </c>
    </row>
    <row r="45" customFormat="false" ht="15.75" hidden="false" customHeight="false" outlineLevel="0" collapsed="false">
      <c r="B45" s="37" t="s">
        <v>828</v>
      </c>
      <c r="C45" s="37" t="n">
        <v>40</v>
      </c>
      <c r="D45" s="7" t="n">
        <v>1280</v>
      </c>
      <c r="E45" s="76" t="n">
        <f aca="false">D45/1000*C45</f>
        <v>51.2</v>
      </c>
      <c r="F45" s="54"/>
      <c r="G45" s="54"/>
      <c r="H45" s="54"/>
    </row>
    <row r="46" customFormat="false" ht="15.75" hidden="false" customHeight="false" outlineLevel="0" collapsed="false">
      <c r="B46" s="37" t="s">
        <v>829</v>
      </c>
      <c r="C46" s="37" t="n">
        <v>40</v>
      </c>
      <c r="D46" s="80" t="n">
        <v>395</v>
      </c>
      <c r="E46" s="76" t="n">
        <f aca="false">D46/1000*C46</f>
        <v>15.8</v>
      </c>
      <c r="F46" s="54"/>
      <c r="G46" s="54"/>
      <c r="H46" s="54"/>
    </row>
    <row r="47" customFormat="false" ht="15.75" hidden="false" customHeight="false" outlineLevel="0" collapsed="false">
      <c r="B47" s="37" t="s">
        <v>53</v>
      </c>
      <c r="C47" s="37" t="n">
        <v>80</v>
      </c>
      <c r="D47" s="81" t="n">
        <v>250</v>
      </c>
      <c r="E47" s="76" t="n">
        <f aca="false">D47/1000*C47</f>
        <v>20</v>
      </c>
      <c r="F47" s="54"/>
      <c r="G47" s="54"/>
      <c r="H47" s="54"/>
    </row>
    <row r="48" customFormat="false" ht="15.75" hidden="false" customHeight="false" outlineLevel="0" collapsed="false">
      <c r="D48" s="82"/>
      <c r="E48" s="76" t="n">
        <f aca="false">D48/1000*C48</f>
        <v>0</v>
      </c>
    </row>
    <row r="49" customFormat="false" ht="15.75" hidden="false" customHeight="false" outlineLevel="0" collapsed="false">
      <c r="D49" s="10"/>
      <c r="E49" s="76" t="n">
        <f aca="false">D49/1000*C49</f>
        <v>0</v>
      </c>
    </row>
    <row r="50" customFormat="false" ht="15.75" hidden="false" customHeight="false" outlineLevel="0" collapsed="false">
      <c r="A50" s="37" t="s">
        <v>830</v>
      </c>
      <c r="B50" s="37" t="s">
        <v>817</v>
      </c>
      <c r="C50" s="37" t="n">
        <v>40</v>
      </c>
      <c r="D50" s="80" t="n">
        <v>823.82</v>
      </c>
      <c r="E50" s="76" t="n">
        <f aca="false">D50/1000*C50</f>
        <v>32.9528</v>
      </c>
      <c r="F50" s="54" t="n">
        <f aca="false">SUM(E50:E53)</f>
        <v>135.5528</v>
      </c>
      <c r="G50" s="55"/>
      <c r="H50" s="54" t="n">
        <f aca="false">(G50-F50)/F50*100</f>
        <v>-100</v>
      </c>
    </row>
    <row r="51" customFormat="false" ht="15.75" hidden="false" customHeight="false" outlineLevel="0" collapsed="false">
      <c r="B51" s="37" t="s">
        <v>831</v>
      </c>
      <c r="C51" s="37" t="n">
        <v>60</v>
      </c>
      <c r="D51" s="7" t="n">
        <v>1280</v>
      </c>
      <c r="E51" s="76" t="n">
        <f aca="false">D51/1000*C51</f>
        <v>76.8</v>
      </c>
      <c r="F51" s="54"/>
      <c r="G51" s="54"/>
      <c r="H51" s="54"/>
    </row>
    <row r="52" customFormat="false" ht="15.75" hidden="false" customHeight="false" outlineLevel="0" collapsed="false">
      <c r="B52" s="37" t="s">
        <v>66</v>
      </c>
      <c r="C52" s="37" t="n">
        <v>40</v>
      </c>
      <c r="D52" s="81" t="n">
        <v>250</v>
      </c>
      <c r="E52" s="76" t="n">
        <f aca="false">D52/1000*C52</f>
        <v>10</v>
      </c>
      <c r="F52" s="54"/>
      <c r="G52" s="54"/>
      <c r="H52" s="54"/>
    </row>
    <row r="53" customFormat="false" ht="15.75" hidden="false" customHeight="false" outlineLevel="0" collapsed="false">
      <c r="B53" s="37" t="s">
        <v>832</v>
      </c>
      <c r="C53" s="37" t="n">
        <v>40</v>
      </c>
      <c r="D53" s="80" t="n">
        <v>395</v>
      </c>
      <c r="E53" s="76" t="n">
        <f aca="false">D53/1000*C53</f>
        <v>15.8</v>
      </c>
      <c r="F53" s="54"/>
      <c r="G53" s="54"/>
      <c r="H53" s="54"/>
    </row>
    <row r="54" customFormat="false" ht="15.75" hidden="false" customHeight="false" outlineLevel="0" collapsed="false">
      <c r="D54" s="80"/>
      <c r="E54" s="76" t="n">
        <f aca="false">D54/1000*C54</f>
        <v>0</v>
      </c>
    </row>
    <row r="55" customFormat="false" ht="15.75" hidden="false" customHeight="false" outlineLevel="0" collapsed="false">
      <c r="D55" s="80"/>
      <c r="E55" s="76" t="n">
        <f aca="false">D55/1000*C55</f>
        <v>0</v>
      </c>
    </row>
    <row r="56" customFormat="false" ht="15.75" hidden="false" customHeight="false" outlineLevel="0" collapsed="false">
      <c r="D56" s="83"/>
      <c r="E56" s="84" t="n">
        <f aca="false">D56/1000*C56</f>
        <v>0</v>
      </c>
    </row>
    <row r="57" customFormat="false" ht="15.75" hidden="false" customHeight="false" outlineLevel="0" collapsed="false">
      <c r="C57" s="10"/>
      <c r="D57" s="32"/>
      <c r="E57" s="32"/>
    </row>
    <row r="58" customFormat="false" ht="15.75" hidden="false" customHeight="false" outlineLevel="0" collapsed="false">
      <c r="C58" s="10"/>
      <c r="D58" s="32"/>
      <c r="E58" s="32"/>
    </row>
    <row r="59" customFormat="false" ht="15.75" hidden="false" customHeight="false" outlineLevel="0" collapsed="false">
      <c r="C59" s="10"/>
      <c r="D59" s="32"/>
      <c r="E59" s="32"/>
    </row>
    <row r="60" customFormat="false" ht="15.75" hidden="false" customHeight="false" outlineLevel="0" collapsed="false">
      <c r="C60" s="10"/>
      <c r="D60" s="32"/>
      <c r="E60" s="32"/>
    </row>
    <row r="61" customFormat="false" ht="15.75" hidden="false" customHeight="false" outlineLevel="0" collapsed="false">
      <c r="C61" s="10"/>
      <c r="D61" s="32"/>
      <c r="E61" s="32"/>
    </row>
    <row r="62" customFormat="false" ht="15.75" hidden="false" customHeight="false" outlineLevel="0" collapsed="false">
      <c r="C62" s="10"/>
      <c r="D62" s="32"/>
      <c r="E62" s="32"/>
    </row>
    <row r="63" customFormat="false" ht="15.75" hidden="false" customHeight="false" outlineLevel="0" collapsed="false">
      <c r="C63" s="10"/>
      <c r="D63" s="32"/>
      <c r="E63" s="32"/>
    </row>
    <row r="64" customFormat="false" ht="15.75" hidden="false" customHeight="false" outlineLevel="0" collapsed="false">
      <c r="C64" s="10"/>
      <c r="D64" s="32"/>
      <c r="E64" s="32"/>
    </row>
    <row r="65" customFormat="false" ht="15.75" hidden="false" customHeight="false" outlineLevel="0" collapsed="false">
      <c r="C65" s="10"/>
      <c r="D65" s="32"/>
      <c r="E65" s="32"/>
    </row>
    <row r="66" customFormat="false" ht="15.75" hidden="false" customHeight="false" outlineLevel="0" collapsed="false">
      <c r="C66" s="10"/>
      <c r="D66" s="32"/>
      <c r="E66" s="32"/>
    </row>
    <row r="67" customFormat="false" ht="15.75" hidden="false" customHeight="false" outlineLevel="0" collapsed="false">
      <c r="C67" s="10"/>
      <c r="D67" s="32"/>
      <c r="E67" s="32"/>
    </row>
    <row r="68" customFormat="false" ht="15.75" hidden="false" customHeight="false" outlineLevel="0" collapsed="false">
      <c r="C68" s="10"/>
      <c r="D68" s="32"/>
      <c r="E68" s="32"/>
    </row>
    <row r="69" customFormat="false" ht="15.75" hidden="false" customHeight="false" outlineLevel="0" collapsed="false">
      <c r="C69" s="10"/>
      <c r="D69" s="32"/>
      <c r="E69" s="32"/>
    </row>
    <row r="70" customFormat="false" ht="15.75" hidden="false" customHeight="false" outlineLevel="0" collapsed="false">
      <c r="C70" s="10"/>
      <c r="D70" s="32"/>
      <c r="E70" s="32"/>
    </row>
    <row r="71" customFormat="false" ht="15.75" hidden="false" customHeight="false" outlineLevel="0" collapsed="false">
      <c r="C71" s="10"/>
      <c r="D71" s="32"/>
      <c r="E71" s="32"/>
    </row>
    <row r="72" customFormat="false" ht="15.75" hidden="false" customHeight="false" outlineLevel="0" collapsed="false">
      <c r="C72" s="10"/>
      <c r="D72" s="32"/>
      <c r="E72" s="32"/>
    </row>
    <row r="73" customFormat="false" ht="15.75" hidden="false" customHeight="false" outlineLevel="0" collapsed="false">
      <c r="C73" s="10"/>
      <c r="D73" s="32"/>
      <c r="E73" s="32"/>
    </row>
    <row r="74" customFormat="false" ht="15.75" hidden="false" customHeight="false" outlineLevel="0" collapsed="false">
      <c r="C74" s="10"/>
      <c r="D74" s="32"/>
      <c r="E74" s="32"/>
    </row>
    <row r="75" customFormat="false" ht="15.75" hidden="false" customHeight="false" outlineLevel="0" collapsed="false">
      <c r="C75" s="10"/>
      <c r="D75" s="32"/>
      <c r="E75" s="32"/>
    </row>
    <row r="76" customFormat="false" ht="15.75" hidden="false" customHeight="false" outlineLevel="0" collapsed="false">
      <c r="C76" s="10"/>
      <c r="D76" s="32"/>
      <c r="E76" s="32"/>
    </row>
    <row r="77" customFormat="false" ht="15.75" hidden="false" customHeight="false" outlineLevel="0" collapsed="false">
      <c r="C77" s="10"/>
      <c r="D77" s="32"/>
      <c r="E77" s="32"/>
    </row>
    <row r="78" customFormat="false" ht="15.75" hidden="false" customHeight="false" outlineLevel="0" collapsed="false">
      <c r="C78" s="10"/>
      <c r="D78" s="32"/>
      <c r="E78" s="32"/>
    </row>
    <row r="79" customFormat="false" ht="15.75" hidden="false" customHeight="false" outlineLevel="0" collapsed="false">
      <c r="C79" s="10"/>
      <c r="D79" s="32"/>
      <c r="E79" s="32"/>
    </row>
    <row r="80" customFormat="false" ht="15.75" hidden="false" customHeight="false" outlineLevel="0" collapsed="false">
      <c r="C80" s="10"/>
      <c r="D80" s="32"/>
      <c r="E80" s="32"/>
    </row>
    <row r="81" customFormat="false" ht="15.75" hidden="false" customHeight="false" outlineLevel="0" collapsed="false">
      <c r="C81" s="10"/>
      <c r="D81" s="32"/>
      <c r="E81" s="32"/>
    </row>
    <row r="82" customFormat="false" ht="15.75" hidden="false" customHeight="false" outlineLevel="0" collapsed="false">
      <c r="C82" s="10"/>
      <c r="D82" s="32"/>
      <c r="E82" s="32"/>
    </row>
    <row r="83" customFormat="false" ht="15.75" hidden="false" customHeight="false" outlineLevel="0" collapsed="false">
      <c r="C83" s="10"/>
      <c r="D83" s="32"/>
      <c r="E83" s="32"/>
    </row>
    <row r="84" customFormat="false" ht="15.75" hidden="false" customHeight="false" outlineLevel="0" collapsed="false">
      <c r="C84" s="10"/>
      <c r="D84" s="32"/>
      <c r="E84" s="32"/>
    </row>
    <row r="85" customFormat="false" ht="15.75" hidden="false" customHeight="false" outlineLevel="0" collapsed="false">
      <c r="C85" s="10"/>
      <c r="D85" s="82"/>
      <c r="E85" s="32"/>
    </row>
    <row r="86" customFormat="false" ht="15.75" hidden="false" customHeight="false" outlineLevel="0" collapsed="false">
      <c r="C86" s="10"/>
      <c r="D86" s="32"/>
      <c r="E86" s="32"/>
    </row>
    <row r="87" customFormat="false" ht="15.75" hidden="false" customHeight="false" outlineLevel="0" collapsed="false">
      <c r="C87" s="10"/>
      <c r="D87" s="82"/>
      <c r="E87" s="32"/>
    </row>
    <row r="88" customFormat="false" ht="15.75" hidden="false" customHeight="false" outlineLevel="0" collapsed="false">
      <c r="C88" s="10"/>
      <c r="D88" s="32"/>
      <c r="E88" s="32"/>
    </row>
    <row r="89" customFormat="false" ht="15.75" hidden="false" customHeight="false" outlineLevel="0" collapsed="false">
      <c r="C89" s="10"/>
      <c r="D89" s="82"/>
      <c r="E89" s="32"/>
    </row>
    <row r="90" customFormat="false" ht="15.75" hidden="false" customHeight="false" outlineLevel="0" collapsed="false">
      <c r="C90" s="10"/>
      <c r="D90" s="82"/>
      <c r="E90" s="82"/>
    </row>
    <row r="91" customFormat="false" ht="15.75" hidden="false" customHeight="false" outlineLevel="0" collapsed="false">
      <c r="C91" s="10"/>
      <c r="D91" s="10"/>
      <c r="E91" s="10"/>
    </row>
    <row r="92" customFormat="false" ht="15.75" hidden="false" customHeight="false" outlineLevel="0" collapsed="false">
      <c r="C92" s="10"/>
      <c r="D92" s="32"/>
      <c r="E92" s="32"/>
    </row>
    <row r="93" customFormat="false" ht="15.75" hidden="false" customHeight="false" outlineLevel="0" collapsed="false">
      <c r="C93" s="10"/>
      <c r="D93" s="32"/>
      <c r="E93" s="32"/>
    </row>
    <row r="94" customFormat="false" ht="15.75" hidden="false" customHeight="false" outlineLevel="0" collapsed="false">
      <c r="C94" s="10"/>
      <c r="D94" s="32"/>
      <c r="E94" s="32"/>
    </row>
    <row r="95" customFormat="false" ht="15.75" hidden="false" customHeight="false" outlineLevel="0" collapsed="false">
      <c r="C95" s="10"/>
      <c r="D95" s="32"/>
      <c r="E95" s="32"/>
    </row>
    <row r="96" customFormat="false" ht="15.75" hidden="false" customHeight="false" outlineLevel="0" collapsed="false">
      <c r="C96" s="10"/>
      <c r="D96" s="32"/>
      <c r="E96" s="32"/>
    </row>
    <row r="97" customFormat="false" ht="15.75" hidden="false" customHeight="false" outlineLevel="0" collapsed="false">
      <c r="C97" s="10"/>
      <c r="D97" s="32"/>
      <c r="E97" s="32"/>
    </row>
    <row r="98" customFormat="false" ht="15.75" hidden="false" customHeight="false" outlineLevel="0" collapsed="false">
      <c r="C98" s="10"/>
      <c r="D98" s="32"/>
      <c r="E98" s="32"/>
    </row>
    <row r="99" customFormat="false" ht="15.75" hidden="false" customHeight="false" outlineLevel="0" collapsed="false">
      <c r="C99" s="10"/>
      <c r="D99" s="32"/>
      <c r="E99" s="32"/>
    </row>
    <row r="100" customFormat="false" ht="15.75" hidden="false" customHeight="false" outlineLevel="0" collapsed="false">
      <c r="C100" s="10"/>
      <c r="D100" s="32"/>
      <c r="E100" s="32"/>
    </row>
    <row r="101" customFormat="false" ht="15.75" hidden="false" customHeight="false" outlineLevel="0" collapsed="false">
      <c r="C101" s="10"/>
      <c r="D101" s="32"/>
      <c r="E101" s="32"/>
    </row>
    <row r="102" customFormat="false" ht="15.75" hidden="false" customHeight="false" outlineLevel="0" collapsed="false">
      <c r="C102" s="10"/>
      <c r="D102" s="32"/>
      <c r="E102" s="32"/>
    </row>
    <row r="103" customFormat="false" ht="15.75" hidden="false" customHeight="false" outlineLevel="0" collapsed="false">
      <c r="C103" s="10"/>
      <c r="D103" s="32"/>
      <c r="E103" s="32"/>
    </row>
    <row r="104" customFormat="false" ht="15.75" hidden="false" customHeight="false" outlineLevel="0" collapsed="false">
      <c r="C104" s="10"/>
      <c r="D104" s="32"/>
      <c r="E104" s="32"/>
    </row>
    <row r="105" customFormat="false" ht="15.75" hidden="false" customHeight="false" outlineLevel="0" collapsed="false">
      <c r="C105" s="10"/>
      <c r="D105" s="32"/>
      <c r="E105" s="32"/>
    </row>
    <row r="106" customFormat="false" ht="15.75" hidden="false" customHeight="false" outlineLevel="0" collapsed="false">
      <c r="C106" s="10"/>
      <c r="D106" s="32"/>
      <c r="E106" s="32"/>
    </row>
    <row r="107" customFormat="false" ht="15.75" hidden="false" customHeight="false" outlineLevel="0" collapsed="false">
      <c r="C107" s="10"/>
      <c r="D107" s="32"/>
      <c r="E107" s="32"/>
    </row>
    <row r="108" customFormat="false" ht="15.75" hidden="false" customHeight="false" outlineLevel="0" collapsed="false">
      <c r="C108" s="10"/>
      <c r="D108" s="32"/>
      <c r="E108" s="32"/>
      <c r="F108" s="85"/>
      <c r="G108" s="85"/>
      <c r="H108" s="85"/>
    </row>
    <row r="109" customFormat="false" ht="15.75" hidden="false" customHeight="false" outlineLevel="0" collapsed="false">
      <c r="C109" s="10"/>
      <c r="D109" s="32"/>
      <c r="E109" s="32"/>
      <c r="F109" s="85"/>
      <c r="G109" s="85"/>
      <c r="H109" s="85"/>
    </row>
    <row r="110" customFormat="false" ht="15.75" hidden="false" customHeight="false" outlineLevel="0" collapsed="false">
      <c r="C110" s="10"/>
      <c r="D110" s="32"/>
      <c r="E110" s="32"/>
      <c r="F110" s="85"/>
      <c r="G110" s="85"/>
      <c r="H110" s="85"/>
    </row>
    <row r="111" customFormat="false" ht="15.75" hidden="false" customHeight="false" outlineLevel="0" collapsed="false">
      <c r="C111" s="10"/>
      <c r="D111" s="32"/>
      <c r="E111" s="32"/>
      <c r="F111" s="85"/>
      <c r="G111" s="85"/>
      <c r="H111" s="85"/>
    </row>
    <row r="112" customFormat="false" ht="15.75" hidden="false" customHeight="false" outlineLevel="0" collapsed="false">
      <c r="C112" s="10"/>
      <c r="D112" s="32"/>
      <c r="E112" s="32"/>
      <c r="F112" s="85"/>
      <c r="G112" s="85"/>
      <c r="H112" s="85"/>
    </row>
    <row r="113" customFormat="false" ht="15.75" hidden="false" customHeight="false" outlineLevel="0" collapsed="false">
      <c r="C113" s="10"/>
      <c r="D113" s="32"/>
      <c r="E113" s="32"/>
      <c r="F113" s="85"/>
      <c r="G113" s="85"/>
      <c r="H113" s="85"/>
    </row>
    <row r="114" customFormat="false" ht="15.75" hidden="false" customHeight="false" outlineLevel="0" collapsed="false">
      <c r="C114" s="10"/>
      <c r="D114" s="32"/>
      <c r="E114" s="32"/>
      <c r="F114" s="85"/>
      <c r="G114" s="85"/>
      <c r="H114" s="85"/>
    </row>
    <row r="115" customFormat="false" ht="15.75" hidden="false" customHeight="false" outlineLevel="0" collapsed="false">
      <c r="C115" s="10"/>
      <c r="D115" s="32"/>
      <c r="E115" s="32"/>
      <c r="F115" s="85"/>
      <c r="G115" s="85"/>
      <c r="H115" s="85"/>
    </row>
    <row r="116" customFormat="false" ht="15.75" hidden="false" customHeight="false" outlineLevel="0" collapsed="false">
      <c r="C116" s="10"/>
      <c r="D116" s="32"/>
      <c r="E116" s="32"/>
      <c r="F116" s="85"/>
      <c r="G116" s="85"/>
      <c r="H116" s="85"/>
    </row>
    <row r="117" customFormat="false" ht="15.75" hidden="false" customHeight="false" outlineLevel="0" collapsed="false">
      <c r="C117" s="10"/>
      <c r="D117" s="32"/>
      <c r="E117" s="32"/>
      <c r="F117" s="85"/>
      <c r="G117" s="85"/>
      <c r="H117" s="85"/>
    </row>
    <row r="118" customFormat="false" ht="15.75" hidden="false" customHeight="false" outlineLevel="0" collapsed="false">
      <c r="C118" s="10"/>
      <c r="D118" s="32"/>
      <c r="E118" s="32"/>
      <c r="F118" s="85"/>
      <c r="G118" s="85"/>
      <c r="H118" s="85"/>
    </row>
    <row r="119" customFormat="false" ht="15.75" hidden="false" customHeight="false" outlineLevel="0" collapsed="false">
      <c r="C119" s="10"/>
      <c r="D119" s="32"/>
      <c r="E119" s="32"/>
      <c r="F119" s="85"/>
      <c r="G119" s="85"/>
      <c r="H119" s="85"/>
    </row>
    <row r="120" customFormat="false" ht="15.75" hidden="false" customHeight="false" outlineLevel="0" collapsed="false">
      <c r="C120" s="10"/>
      <c r="D120" s="32"/>
      <c r="E120" s="32"/>
      <c r="F120" s="32"/>
      <c r="G120" s="32"/>
      <c r="H120" s="10"/>
    </row>
    <row r="121" customFormat="false" ht="15.75" hidden="false" customHeight="false" outlineLevel="0" collapsed="false">
      <c r="C121" s="10"/>
      <c r="D121" s="10"/>
      <c r="E121" s="10"/>
      <c r="F121" s="10"/>
      <c r="G121" s="10"/>
      <c r="H121" s="10"/>
    </row>
    <row r="122" customFormat="false" ht="15.75" hidden="false" customHeight="false" outlineLevel="0" collapsed="false">
      <c r="C122" s="10"/>
      <c r="D122" s="32"/>
      <c r="E122" s="32"/>
      <c r="F122" s="32"/>
      <c r="G122" s="32"/>
      <c r="H122" s="10"/>
    </row>
    <row r="123" customFormat="false" ht="15.75" hidden="false" customHeight="false" outlineLevel="0" collapsed="false">
      <c r="C123" s="10"/>
      <c r="D123" s="32"/>
      <c r="E123" s="32"/>
      <c r="F123" s="85"/>
      <c r="G123" s="85"/>
      <c r="H123" s="85"/>
    </row>
    <row r="124" customFormat="false" ht="15.75" hidden="false" customHeight="false" outlineLevel="0" collapsed="false">
      <c r="C124" s="10"/>
      <c r="D124" s="32"/>
      <c r="E124" s="32"/>
      <c r="F124" s="85"/>
      <c r="G124" s="85"/>
      <c r="H124" s="85"/>
    </row>
    <row r="125" customFormat="false" ht="15.75" hidden="false" customHeight="false" outlineLevel="0" collapsed="false">
      <c r="C125" s="10"/>
      <c r="D125" s="32"/>
      <c r="E125" s="32"/>
      <c r="F125" s="85"/>
      <c r="G125" s="85"/>
      <c r="H125" s="85"/>
    </row>
    <row r="126" customFormat="false" ht="15.75" hidden="false" customHeight="false" outlineLevel="0" collapsed="false">
      <c r="C126" s="10"/>
      <c r="D126" s="32"/>
      <c r="E126" s="32"/>
      <c r="F126" s="85"/>
      <c r="G126" s="85"/>
      <c r="H126" s="85"/>
    </row>
    <row r="127" customFormat="false" ht="15.75" hidden="false" customHeight="false" outlineLevel="0" collapsed="false">
      <c r="C127" s="10"/>
      <c r="D127" s="32"/>
      <c r="E127" s="32"/>
      <c r="F127" s="85"/>
      <c r="G127" s="85"/>
      <c r="H127" s="85"/>
    </row>
    <row r="128" customFormat="false" ht="15.75" hidden="false" customHeight="false" outlineLevel="0" collapsed="false">
      <c r="C128" s="10"/>
      <c r="D128" s="32"/>
      <c r="E128" s="32"/>
      <c r="F128" s="85"/>
      <c r="G128" s="85"/>
      <c r="H128" s="85"/>
    </row>
    <row r="129" customFormat="false" ht="15.75" hidden="false" customHeight="false" outlineLevel="0" collapsed="false">
      <c r="C129" s="10"/>
      <c r="D129" s="32"/>
      <c r="E129" s="32"/>
      <c r="F129" s="85"/>
      <c r="G129" s="85"/>
      <c r="H129" s="85"/>
    </row>
    <row r="130" customFormat="false" ht="15.75" hidden="false" customHeight="false" outlineLevel="0" collapsed="false">
      <c r="C130" s="10"/>
      <c r="D130" s="32"/>
      <c r="E130" s="32"/>
      <c r="F130" s="85"/>
      <c r="G130" s="85"/>
      <c r="H130" s="85"/>
    </row>
    <row r="131" customFormat="false" ht="15.75" hidden="false" customHeight="false" outlineLevel="0" collapsed="false">
      <c r="C131" s="10"/>
      <c r="D131" s="32"/>
      <c r="E131" s="32"/>
      <c r="F131" s="85"/>
      <c r="G131" s="85"/>
      <c r="H131" s="85"/>
    </row>
    <row r="132" customFormat="false" ht="15.75" hidden="false" customHeight="false" outlineLevel="0" collapsed="false">
      <c r="C132" s="10"/>
      <c r="D132" s="32"/>
      <c r="E132" s="32"/>
      <c r="F132" s="85"/>
      <c r="G132" s="85"/>
      <c r="H132" s="85"/>
    </row>
    <row r="133" customFormat="false" ht="15.75" hidden="false" customHeight="false" outlineLevel="0" collapsed="false">
      <c r="C133" s="10"/>
      <c r="D133" s="32"/>
      <c r="E133" s="32"/>
      <c r="F133" s="85"/>
      <c r="G133" s="85"/>
      <c r="H133" s="85"/>
    </row>
    <row r="134" customFormat="false" ht="15.75" hidden="false" customHeight="false" outlineLevel="0" collapsed="false">
      <c r="C134" s="10"/>
      <c r="D134" s="32"/>
      <c r="E134" s="32"/>
      <c r="F134" s="85"/>
      <c r="G134" s="85"/>
      <c r="H134" s="85"/>
    </row>
    <row r="135" customFormat="false" ht="15.75" hidden="false" customHeight="false" outlineLevel="0" collapsed="false">
      <c r="C135" s="10"/>
      <c r="D135" s="32"/>
      <c r="E135" s="32"/>
      <c r="F135" s="85"/>
      <c r="G135" s="85"/>
      <c r="H135" s="85"/>
    </row>
    <row r="136" customFormat="false" ht="15.75" hidden="false" customHeight="false" outlineLevel="0" collapsed="false">
      <c r="C136" s="10"/>
      <c r="D136" s="32"/>
      <c r="E136" s="32"/>
      <c r="F136" s="85"/>
      <c r="G136" s="85"/>
      <c r="H136" s="85"/>
    </row>
    <row r="137" customFormat="false" ht="15.75" hidden="false" customHeight="false" outlineLevel="0" collapsed="false">
      <c r="C137" s="10"/>
      <c r="D137" s="82"/>
      <c r="E137" s="82"/>
      <c r="F137" s="82"/>
      <c r="G137" s="82"/>
      <c r="H137" s="10"/>
    </row>
    <row r="138" customFormat="false" ht="15.75" hidden="false" customHeight="false" outlineLevel="0" collapsed="false">
      <c r="C138" s="10"/>
      <c r="D138" s="10"/>
      <c r="E138" s="10"/>
      <c r="F138" s="10"/>
      <c r="G138" s="10"/>
      <c r="H138" s="10"/>
    </row>
    <row r="139" customFormat="false" ht="15.75" hidden="false" customHeight="false" outlineLevel="0" collapsed="false">
      <c r="C139" s="10"/>
      <c r="D139" s="32"/>
      <c r="E139" s="32"/>
      <c r="F139" s="32"/>
      <c r="G139" s="32"/>
      <c r="H139" s="10"/>
    </row>
    <row r="140" customFormat="false" ht="15.75" hidden="false" customHeight="false" outlineLevel="0" collapsed="false">
      <c r="C140" s="10"/>
      <c r="D140" s="32"/>
      <c r="E140" s="32"/>
      <c r="F140" s="85"/>
      <c r="G140" s="85"/>
      <c r="H140" s="85"/>
    </row>
    <row r="141" customFormat="false" ht="15.75" hidden="false" customHeight="false" outlineLevel="0" collapsed="false">
      <c r="C141" s="10"/>
      <c r="D141" s="32"/>
      <c r="E141" s="32"/>
      <c r="F141" s="85"/>
      <c r="G141" s="85"/>
      <c r="H141" s="85"/>
    </row>
    <row r="142" customFormat="false" ht="15.75" hidden="false" customHeight="false" outlineLevel="0" collapsed="false">
      <c r="C142" s="10"/>
      <c r="D142" s="32"/>
      <c r="E142" s="32"/>
      <c r="F142" s="85"/>
      <c r="G142" s="85"/>
      <c r="H142" s="85"/>
    </row>
    <row r="143" customFormat="false" ht="15.75" hidden="false" customHeight="false" outlineLevel="0" collapsed="false">
      <c r="C143" s="10"/>
      <c r="D143" s="32"/>
      <c r="E143" s="32"/>
      <c r="F143" s="85"/>
      <c r="G143" s="85"/>
      <c r="H143" s="85"/>
    </row>
    <row r="144" customFormat="false" ht="15.75" hidden="false" customHeight="false" outlineLevel="0" collapsed="false">
      <c r="C144" s="10"/>
      <c r="D144" s="32"/>
      <c r="E144" s="32"/>
      <c r="F144" s="85"/>
      <c r="G144" s="85"/>
      <c r="H144" s="85"/>
    </row>
    <row r="145" customFormat="false" ht="15.75" hidden="false" customHeight="false" outlineLevel="0" collapsed="false">
      <c r="C145" s="10"/>
      <c r="D145" s="32"/>
      <c r="E145" s="32"/>
      <c r="F145" s="85"/>
      <c r="G145" s="85"/>
      <c r="H145" s="85"/>
    </row>
    <row r="146" customFormat="false" ht="15.75" hidden="false" customHeight="false" outlineLevel="0" collapsed="false">
      <c r="C146" s="10"/>
      <c r="D146" s="32"/>
      <c r="E146" s="32"/>
      <c r="F146" s="85"/>
      <c r="G146" s="85"/>
      <c r="H146" s="85"/>
    </row>
    <row r="147" customFormat="false" ht="15.75" hidden="false" customHeight="false" outlineLevel="0" collapsed="false">
      <c r="C147" s="10"/>
      <c r="D147" s="32"/>
      <c r="E147" s="32"/>
      <c r="F147" s="85"/>
      <c r="G147" s="85"/>
      <c r="H147" s="85"/>
    </row>
    <row r="148" customFormat="false" ht="15.75" hidden="false" customHeight="false" outlineLevel="0" collapsed="false">
      <c r="C148" s="10"/>
      <c r="D148" s="32"/>
      <c r="E148" s="32"/>
      <c r="F148" s="85"/>
      <c r="G148" s="85"/>
      <c r="H148" s="85"/>
    </row>
    <row r="149" customFormat="false" ht="15.75" hidden="false" customHeight="false" outlineLevel="0" collapsed="false">
      <c r="C149" s="10"/>
      <c r="D149" s="32"/>
      <c r="E149" s="32"/>
      <c r="F149" s="85"/>
      <c r="G149" s="85"/>
      <c r="H149" s="85"/>
    </row>
    <row r="150" customFormat="false" ht="15.75" hidden="false" customHeight="false" outlineLevel="0" collapsed="false">
      <c r="C150" s="10"/>
      <c r="D150" s="32"/>
      <c r="E150" s="32"/>
      <c r="F150" s="85"/>
      <c r="G150" s="85"/>
      <c r="H150" s="85"/>
    </row>
    <row r="151" customFormat="false" ht="15.75" hidden="false" customHeight="false" outlineLevel="0" collapsed="false">
      <c r="C151" s="10"/>
      <c r="D151" s="32"/>
      <c r="E151" s="32"/>
      <c r="F151" s="85"/>
      <c r="G151" s="85"/>
      <c r="H151" s="85"/>
    </row>
    <row r="152" customFormat="false" ht="15.75" hidden="false" customHeight="false" outlineLevel="0" collapsed="false">
      <c r="C152" s="10"/>
      <c r="D152" s="32"/>
      <c r="E152" s="32"/>
      <c r="F152" s="85"/>
      <c r="G152" s="85"/>
      <c r="H152" s="85"/>
    </row>
    <row r="153" customFormat="false" ht="15.75" hidden="false" customHeight="false" outlineLevel="0" collapsed="false">
      <c r="C153" s="10"/>
      <c r="D153" s="32"/>
      <c r="E153" s="32"/>
      <c r="F153" s="85"/>
      <c r="G153" s="85"/>
      <c r="H153" s="85"/>
    </row>
    <row r="154" customFormat="false" ht="15.75" hidden="false" customHeight="false" outlineLevel="0" collapsed="false">
      <c r="C154" s="10"/>
      <c r="D154" s="32"/>
      <c r="E154" s="32"/>
      <c r="F154" s="85"/>
      <c r="G154" s="85"/>
      <c r="H154" s="85"/>
    </row>
    <row r="155" customFormat="false" ht="15.75" hidden="false" customHeight="false" outlineLevel="0" collapsed="false">
      <c r="C155" s="10"/>
      <c r="D155" s="32"/>
      <c r="E155" s="32"/>
      <c r="F155" s="85"/>
      <c r="G155" s="85"/>
      <c r="H155" s="85"/>
    </row>
    <row r="156" customFormat="false" ht="15.75" hidden="false" customHeight="false" outlineLevel="0" collapsed="false">
      <c r="C156" s="10"/>
      <c r="D156" s="32"/>
      <c r="E156" s="32"/>
      <c r="F156" s="85"/>
      <c r="G156" s="85"/>
      <c r="H156" s="85"/>
    </row>
    <row r="157" customFormat="false" ht="15.75" hidden="false" customHeight="false" outlineLevel="0" collapsed="false">
      <c r="C157" s="10"/>
      <c r="D157" s="82"/>
      <c r="E157" s="82"/>
      <c r="F157" s="82"/>
      <c r="G157" s="82"/>
      <c r="H157" s="10"/>
    </row>
    <row r="158" customFormat="false" ht="15.75" hidden="false" customHeight="false" outlineLevel="0" collapsed="false">
      <c r="C158" s="10"/>
      <c r="D158" s="10"/>
      <c r="E158" s="10"/>
      <c r="F158" s="10"/>
      <c r="G158" s="10"/>
      <c r="H158" s="10"/>
    </row>
    <row r="159" customFormat="false" ht="15.75" hidden="false" customHeight="false" outlineLevel="0" collapsed="false">
      <c r="C159" s="10"/>
      <c r="D159" s="32"/>
      <c r="E159" s="32"/>
      <c r="F159" s="85"/>
      <c r="G159" s="85"/>
      <c r="H159" s="85"/>
    </row>
    <row r="160" customFormat="false" ht="15.75" hidden="false" customHeight="false" outlineLevel="0" collapsed="false">
      <c r="C160" s="10"/>
      <c r="D160" s="32"/>
      <c r="E160" s="32"/>
      <c r="F160" s="85"/>
      <c r="G160" s="85"/>
      <c r="H160" s="85"/>
    </row>
    <row r="161" customFormat="false" ht="15.75" hidden="false" customHeight="false" outlineLevel="0" collapsed="false">
      <c r="C161" s="10"/>
      <c r="D161" s="32"/>
      <c r="E161" s="32"/>
      <c r="F161" s="85"/>
      <c r="G161" s="85"/>
      <c r="H161" s="85"/>
    </row>
    <row r="162" customFormat="false" ht="15.75" hidden="false" customHeight="false" outlineLevel="0" collapsed="false">
      <c r="C162" s="10"/>
      <c r="D162" s="32"/>
      <c r="E162" s="32"/>
      <c r="F162" s="85"/>
      <c r="G162" s="85"/>
      <c r="H162" s="85"/>
    </row>
    <row r="163" customFormat="false" ht="15.75" hidden="false" customHeight="false" outlineLevel="0" collapsed="false">
      <c r="C163" s="10"/>
      <c r="D163" s="32"/>
      <c r="E163" s="32"/>
      <c r="F163" s="85"/>
      <c r="G163" s="85"/>
      <c r="H163" s="85"/>
    </row>
    <row r="164" customFormat="false" ht="15.75" hidden="false" customHeight="false" outlineLevel="0" collapsed="false">
      <c r="C164" s="10"/>
      <c r="D164" s="32"/>
      <c r="E164" s="32"/>
      <c r="F164" s="85"/>
      <c r="G164" s="85"/>
      <c r="H164" s="85"/>
    </row>
    <row r="165" customFormat="false" ht="15.75" hidden="false" customHeight="false" outlineLevel="0" collapsed="false">
      <c r="C165" s="10"/>
      <c r="D165" s="32"/>
      <c r="E165" s="32"/>
      <c r="F165" s="85"/>
      <c r="G165" s="85"/>
      <c r="H165" s="85"/>
    </row>
    <row r="166" customFormat="false" ht="15.75" hidden="false" customHeight="false" outlineLevel="0" collapsed="false">
      <c r="C166" s="10"/>
      <c r="D166" s="32"/>
      <c r="E166" s="32"/>
      <c r="F166" s="85"/>
      <c r="G166" s="85"/>
      <c r="H166" s="85"/>
    </row>
    <row r="167" customFormat="false" ht="15.75" hidden="false" customHeight="false" outlineLevel="0" collapsed="false">
      <c r="C167" s="10"/>
      <c r="D167" s="32"/>
      <c r="E167" s="32"/>
      <c r="F167" s="85"/>
      <c r="G167" s="85"/>
      <c r="H167" s="85"/>
    </row>
    <row r="168" customFormat="false" ht="15.75" hidden="false" customHeight="false" outlineLevel="0" collapsed="false">
      <c r="C168" s="10"/>
      <c r="D168" s="32"/>
      <c r="E168" s="32"/>
      <c r="F168" s="85"/>
      <c r="G168" s="85"/>
      <c r="H168" s="85"/>
    </row>
    <row r="169" customFormat="false" ht="15.75" hidden="false" customHeight="false" outlineLevel="0" collapsed="false">
      <c r="C169" s="10"/>
      <c r="D169" s="32"/>
      <c r="E169" s="32"/>
      <c r="F169" s="85"/>
      <c r="G169" s="85"/>
      <c r="H169" s="85"/>
    </row>
    <row r="170" customFormat="false" ht="15.75" hidden="false" customHeight="false" outlineLevel="0" collapsed="false">
      <c r="C170" s="10"/>
      <c r="D170" s="32"/>
      <c r="E170" s="32"/>
      <c r="F170" s="85"/>
      <c r="G170" s="85"/>
      <c r="H170" s="85"/>
    </row>
    <row r="171" customFormat="false" ht="15.75" hidden="false" customHeight="false" outlineLevel="0" collapsed="false">
      <c r="C171" s="10"/>
      <c r="D171" s="32"/>
      <c r="E171" s="32"/>
      <c r="F171" s="85"/>
      <c r="G171" s="85"/>
      <c r="H171" s="85"/>
    </row>
    <row r="172" customFormat="false" ht="15.75" hidden="false" customHeight="false" outlineLevel="0" collapsed="false">
      <c r="C172" s="10"/>
      <c r="D172" s="32"/>
      <c r="E172" s="32"/>
      <c r="F172" s="85"/>
      <c r="G172" s="85"/>
      <c r="H172" s="85"/>
    </row>
    <row r="173" customFormat="false" ht="15.75" hidden="false" customHeight="false" outlineLevel="0" collapsed="false">
      <c r="C173" s="10"/>
      <c r="D173" s="32"/>
      <c r="E173" s="32"/>
      <c r="F173" s="32"/>
      <c r="G173" s="32"/>
      <c r="H173" s="10"/>
    </row>
    <row r="174" customFormat="false" ht="15.75" hidden="false" customHeight="false" outlineLevel="0" collapsed="false">
      <c r="C174" s="10"/>
      <c r="D174" s="10"/>
      <c r="E174" s="10"/>
      <c r="F174" s="10"/>
      <c r="G174" s="10"/>
      <c r="H174" s="10"/>
    </row>
    <row r="175" customFormat="false" ht="15.75" hidden="false" customHeight="false" outlineLevel="0" collapsed="false">
      <c r="C175" s="10"/>
      <c r="D175" s="32"/>
      <c r="E175" s="32"/>
      <c r="F175" s="85"/>
      <c r="G175" s="85"/>
      <c r="H175" s="85"/>
    </row>
    <row r="176" customFormat="false" ht="15.75" hidden="false" customHeight="false" outlineLevel="0" collapsed="false">
      <c r="C176" s="10"/>
      <c r="D176" s="32"/>
      <c r="E176" s="32"/>
      <c r="F176" s="85"/>
      <c r="G176" s="85"/>
      <c r="H176" s="85"/>
    </row>
    <row r="177" customFormat="false" ht="15.75" hidden="false" customHeight="false" outlineLevel="0" collapsed="false">
      <c r="C177" s="10"/>
      <c r="D177" s="32"/>
      <c r="E177" s="32"/>
      <c r="F177" s="85"/>
      <c r="G177" s="85"/>
      <c r="H177" s="85"/>
    </row>
    <row r="178" customFormat="false" ht="15.75" hidden="false" customHeight="false" outlineLevel="0" collapsed="false">
      <c r="C178" s="10"/>
      <c r="D178" s="32"/>
      <c r="E178" s="32"/>
      <c r="F178" s="85"/>
      <c r="G178" s="85"/>
      <c r="H178" s="85"/>
    </row>
    <row r="179" customFormat="false" ht="15.75" hidden="false" customHeight="false" outlineLevel="0" collapsed="false">
      <c r="C179" s="10"/>
      <c r="D179" s="32"/>
      <c r="E179" s="32"/>
      <c r="F179" s="85"/>
      <c r="G179" s="85"/>
      <c r="H179" s="85"/>
    </row>
    <row r="180" customFormat="false" ht="15.75" hidden="false" customHeight="false" outlineLevel="0" collapsed="false">
      <c r="C180" s="10"/>
      <c r="D180" s="32"/>
      <c r="E180" s="32"/>
      <c r="F180" s="85"/>
      <c r="G180" s="85"/>
      <c r="H180" s="85"/>
    </row>
    <row r="181" customFormat="false" ht="15.75" hidden="false" customHeight="false" outlineLevel="0" collapsed="false">
      <c r="C181" s="10"/>
      <c r="D181" s="32"/>
      <c r="E181" s="32"/>
      <c r="F181" s="85"/>
      <c r="G181" s="85"/>
      <c r="H181" s="85"/>
    </row>
    <row r="182" customFormat="false" ht="15.75" hidden="false" customHeight="false" outlineLevel="0" collapsed="false">
      <c r="C182" s="10"/>
      <c r="D182" s="32"/>
      <c r="E182" s="32"/>
      <c r="F182" s="85"/>
      <c r="G182" s="85"/>
      <c r="H182" s="85"/>
    </row>
    <row r="183" customFormat="false" ht="15.75" hidden="false" customHeight="false" outlineLevel="0" collapsed="false">
      <c r="C183" s="10"/>
      <c r="D183" s="32"/>
      <c r="E183" s="32"/>
      <c r="F183" s="85"/>
      <c r="G183" s="85"/>
      <c r="H183" s="85"/>
    </row>
    <row r="184" customFormat="false" ht="15.75" hidden="false" customHeight="false" outlineLevel="0" collapsed="false">
      <c r="C184" s="10"/>
      <c r="D184" s="32"/>
      <c r="E184" s="32"/>
      <c r="F184" s="85"/>
      <c r="G184" s="85"/>
      <c r="H184" s="85"/>
    </row>
    <row r="185" customFormat="false" ht="15.75" hidden="false" customHeight="false" outlineLevel="0" collapsed="false">
      <c r="C185" s="10"/>
      <c r="D185" s="32"/>
      <c r="E185" s="32"/>
      <c r="F185" s="85"/>
      <c r="G185" s="85"/>
      <c r="H185" s="85"/>
    </row>
    <row r="186" customFormat="false" ht="15.75" hidden="false" customHeight="false" outlineLevel="0" collapsed="false">
      <c r="C186" s="10"/>
      <c r="D186" s="32"/>
      <c r="E186" s="32"/>
      <c r="F186" s="85"/>
      <c r="G186" s="85"/>
      <c r="H186" s="85"/>
    </row>
    <row r="187" customFormat="false" ht="15.75" hidden="false" customHeight="false" outlineLevel="0" collapsed="false">
      <c r="C187" s="10"/>
      <c r="D187" s="32"/>
      <c r="E187" s="32"/>
      <c r="F187" s="85"/>
      <c r="G187" s="85"/>
      <c r="H187" s="85"/>
    </row>
    <row r="188" customFormat="false" ht="15.75" hidden="false" customHeight="false" outlineLevel="0" collapsed="false">
      <c r="C188" s="10"/>
      <c r="D188" s="32"/>
      <c r="E188" s="32"/>
      <c r="F188" s="85"/>
      <c r="G188" s="85"/>
      <c r="H188" s="85"/>
    </row>
    <row r="189" customFormat="false" ht="15.75" hidden="false" customHeight="false" outlineLevel="0" collapsed="false">
      <c r="C189" s="10"/>
      <c r="D189" s="32"/>
      <c r="E189" s="32"/>
      <c r="F189" s="85"/>
      <c r="G189" s="85"/>
      <c r="H189" s="85"/>
    </row>
    <row r="190" customFormat="false" ht="15.75" hidden="false" customHeight="false" outlineLevel="0" collapsed="false">
      <c r="C190" s="10"/>
      <c r="D190" s="32"/>
      <c r="E190" s="32"/>
      <c r="F190" s="85"/>
      <c r="G190" s="85"/>
      <c r="H190" s="85"/>
    </row>
    <row r="191" customFormat="false" ht="15.75" hidden="false" customHeight="false" outlineLevel="0" collapsed="false">
      <c r="C191" s="10"/>
      <c r="D191" s="82"/>
      <c r="E191" s="82"/>
      <c r="F191" s="82"/>
      <c r="G191" s="82"/>
      <c r="H191" s="10"/>
    </row>
    <row r="192" customFormat="false" ht="15.75" hidden="false" customHeight="false" outlineLevel="0" collapsed="false">
      <c r="C192" s="10"/>
      <c r="D192" s="10"/>
      <c r="E192" s="10"/>
      <c r="F192" s="10"/>
      <c r="G192" s="10"/>
      <c r="H192" s="10"/>
    </row>
    <row r="193" customFormat="false" ht="15.75" hidden="false" customHeight="false" outlineLevel="0" collapsed="false">
      <c r="C193" s="10"/>
      <c r="D193" s="32"/>
      <c r="E193" s="32"/>
      <c r="F193" s="32"/>
      <c r="G193" s="32"/>
      <c r="H193" s="86"/>
    </row>
    <row r="194" customFormat="false" ht="15.75" hidden="false" customHeight="false" outlineLevel="0" collapsed="false">
      <c r="C194" s="10"/>
      <c r="D194" s="32"/>
      <c r="E194" s="32"/>
      <c r="F194" s="32"/>
      <c r="G194" s="32"/>
      <c r="H194" s="86"/>
    </row>
    <row r="195" customFormat="false" ht="15.75" hidden="false" customHeight="false" outlineLevel="0" collapsed="false">
      <c r="C195" s="10"/>
      <c r="D195" s="32"/>
      <c r="E195" s="32"/>
      <c r="F195" s="32"/>
      <c r="G195" s="32"/>
      <c r="H195" s="86"/>
    </row>
    <row r="196" customFormat="false" ht="15.75" hidden="false" customHeight="false" outlineLevel="0" collapsed="false">
      <c r="C196" s="10"/>
      <c r="D196" s="32"/>
      <c r="E196" s="32"/>
      <c r="F196" s="32"/>
      <c r="G196" s="32"/>
      <c r="H196" s="86"/>
    </row>
    <row r="197" customFormat="false" ht="15.75" hidden="false" customHeight="false" outlineLevel="0" collapsed="false">
      <c r="C197" s="10"/>
      <c r="D197" s="32"/>
      <c r="E197" s="32"/>
      <c r="F197" s="32"/>
      <c r="G197" s="32"/>
      <c r="H197" s="86"/>
    </row>
    <row r="198" customFormat="false" ht="15.75" hidden="false" customHeight="false" outlineLevel="0" collapsed="false">
      <c r="C198" s="10"/>
      <c r="D198" s="32"/>
      <c r="E198" s="32"/>
      <c r="F198" s="32"/>
      <c r="G198" s="32"/>
      <c r="H198" s="86"/>
    </row>
    <row r="199" customFormat="false" ht="15.75" hidden="false" customHeight="false" outlineLevel="0" collapsed="false">
      <c r="C199" s="10"/>
      <c r="D199" s="82"/>
      <c r="E199" s="82"/>
      <c r="F199" s="82"/>
      <c r="G199" s="82"/>
      <c r="H199" s="86"/>
    </row>
    <row r="200" customFormat="false" ht="15.75" hidden="false" customHeight="false" outlineLevel="0" collapsed="false">
      <c r="C200" s="10"/>
      <c r="D200" s="10"/>
      <c r="E200" s="10"/>
      <c r="F200" s="10"/>
      <c r="G200" s="10"/>
      <c r="H200" s="86"/>
    </row>
    <row r="201" customFormat="false" ht="15.75" hidden="false" customHeight="false" outlineLevel="0" collapsed="false">
      <c r="C201" s="10"/>
      <c r="D201" s="32"/>
      <c r="E201" s="32"/>
      <c r="F201" s="32"/>
      <c r="G201" s="32"/>
      <c r="H201" s="86"/>
    </row>
    <row r="202" customFormat="false" ht="15.75" hidden="false" customHeight="false" outlineLevel="0" collapsed="false">
      <c r="C202" s="10"/>
      <c r="D202" s="32"/>
      <c r="E202" s="32"/>
      <c r="F202" s="32"/>
      <c r="G202" s="32"/>
      <c r="H202" s="86"/>
    </row>
    <row r="203" customFormat="false" ht="15.75" hidden="false" customHeight="false" outlineLevel="0" collapsed="false">
      <c r="C203" s="10"/>
      <c r="D203" s="32"/>
      <c r="E203" s="32"/>
      <c r="F203" s="32"/>
      <c r="G203" s="32"/>
      <c r="H203" s="86"/>
    </row>
    <row r="204" customFormat="false" ht="15.75" hidden="false" customHeight="false" outlineLevel="0" collapsed="false">
      <c r="C204" s="10"/>
      <c r="D204" s="32"/>
      <c r="E204" s="32"/>
      <c r="F204" s="32"/>
      <c r="G204" s="85"/>
      <c r="H204" s="86"/>
    </row>
    <row r="205" customFormat="false" ht="15.75" hidden="false" customHeight="false" outlineLevel="0" collapsed="false">
      <c r="C205" s="10"/>
      <c r="D205" s="32"/>
      <c r="E205" s="32"/>
      <c r="F205" s="32"/>
      <c r="G205" s="85"/>
      <c r="H205" s="86"/>
    </row>
    <row r="206" customFormat="false" ht="15.75" hidden="false" customHeight="false" outlineLevel="0" collapsed="false">
      <c r="C206" s="10"/>
      <c r="D206" s="32"/>
      <c r="E206" s="32"/>
      <c r="F206" s="32"/>
      <c r="G206" s="32"/>
      <c r="H206" s="86"/>
    </row>
    <row r="207" customFormat="false" ht="15.75" hidden="false" customHeight="false" outlineLevel="0" collapsed="false">
      <c r="C207" s="10"/>
      <c r="D207" s="10"/>
      <c r="E207" s="10"/>
      <c r="F207" s="10"/>
      <c r="G207" s="10"/>
      <c r="H207" s="10"/>
    </row>
    <row r="208" customFormat="false" ht="15.75" hidden="false" customHeight="false" outlineLevel="0" collapsed="false">
      <c r="C208" s="10"/>
      <c r="D208" s="10"/>
      <c r="E208" s="10"/>
      <c r="F208" s="10"/>
      <c r="G208" s="10"/>
      <c r="H208" s="10"/>
    </row>
    <row r="209" customFormat="false" ht="15.75" hidden="false" customHeight="false" outlineLevel="0" collapsed="false">
      <c r="C209" s="10"/>
      <c r="D209" s="10"/>
      <c r="E209" s="10"/>
      <c r="F209" s="10"/>
      <c r="G209" s="10"/>
      <c r="H209" s="10"/>
    </row>
    <row r="210" customFormat="false" ht="15.75" hidden="false" customHeight="false" outlineLevel="0" collapsed="false">
      <c r="C210" s="10"/>
      <c r="D210" s="10"/>
      <c r="E210" s="10"/>
      <c r="F210" s="10"/>
      <c r="G210" s="10"/>
      <c r="H210" s="10"/>
    </row>
    <row r="211" customFormat="false" ht="15.75" hidden="false" customHeight="false" outlineLevel="0" collapsed="false">
      <c r="C211" s="10"/>
      <c r="D211" s="10"/>
      <c r="E211" s="10"/>
      <c r="F211" s="10"/>
      <c r="G211" s="10"/>
      <c r="H211" s="10"/>
    </row>
    <row r="212" customFormat="false" ht="15.75" hidden="false" customHeight="false" outlineLevel="0" collapsed="false">
      <c r="C212" s="10"/>
      <c r="D212" s="10"/>
      <c r="E212" s="10"/>
      <c r="F212" s="10"/>
      <c r="G212" s="10"/>
      <c r="H212" s="10"/>
    </row>
    <row r="213" customFormat="false" ht="15.75" hidden="false" customHeight="false" outlineLevel="0" collapsed="false">
      <c r="C213" s="10"/>
      <c r="D213" s="10"/>
      <c r="E213" s="10"/>
      <c r="F213" s="10"/>
      <c r="G213" s="10"/>
      <c r="H213" s="10"/>
    </row>
    <row r="214" customFormat="false" ht="15.75" hidden="false" customHeight="false" outlineLevel="0" collapsed="false">
      <c r="C214" s="10"/>
      <c r="D214" s="10"/>
      <c r="E214" s="10"/>
      <c r="F214" s="10"/>
      <c r="G214" s="10"/>
      <c r="H214" s="10"/>
    </row>
    <row r="215" customFormat="false" ht="15.75" hidden="false" customHeight="false" outlineLevel="0" collapsed="false">
      <c r="C215" s="10"/>
      <c r="D215" s="10"/>
      <c r="E215" s="10"/>
      <c r="F215" s="10"/>
      <c r="G215" s="10"/>
      <c r="H215" s="10"/>
    </row>
    <row r="216" customFormat="false" ht="15.75" hidden="false" customHeight="false" outlineLevel="0" collapsed="false">
      <c r="C216" s="10"/>
      <c r="D216" s="10"/>
      <c r="E216" s="10"/>
      <c r="F216" s="10"/>
      <c r="G216" s="10"/>
      <c r="H216" s="10"/>
    </row>
    <row r="217" customFormat="false" ht="15.75" hidden="false" customHeight="false" outlineLevel="0" collapsed="false">
      <c r="D217" s="10"/>
    </row>
    <row r="218" customFormat="false" ht="15.75" hidden="false" customHeight="false" outlineLevel="0" collapsed="false">
      <c r="D218" s="10"/>
    </row>
    <row r="219" customFormat="false" ht="15.75" hidden="false" customHeight="false" outlineLevel="0" collapsed="false">
      <c r="D219" s="10"/>
    </row>
    <row r="220" customFormat="false" ht="15.75" hidden="false" customHeight="false" outlineLevel="0" collapsed="false">
      <c r="D220" s="10"/>
    </row>
    <row r="221" customFormat="false" ht="15.75" hidden="false" customHeight="false" outlineLevel="0" collapsed="false">
      <c r="D221" s="10"/>
    </row>
    <row r="222" customFormat="false" ht="15.75" hidden="false" customHeight="false" outlineLevel="0" collapsed="false">
      <c r="D222" s="10"/>
    </row>
    <row r="223" customFormat="false" ht="15.75" hidden="false" customHeight="false" outlineLevel="0" collapsed="false">
      <c r="D223" s="10"/>
    </row>
    <row r="224" customFormat="false" ht="15.75" hidden="false" customHeight="false" outlineLevel="0" collapsed="false">
      <c r="D224" s="10"/>
    </row>
    <row r="225" customFormat="false" ht="15.75" hidden="false" customHeight="false" outlineLevel="0" collapsed="false">
      <c r="D225" s="10"/>
    </row>
    <row r="226" customFormat="false" ht="15.75" hidden="false" customHeight="false" outlineLevel="0" collapsed="false">
      <c r="D226" s="10"/>
    </row>
    <row r="227" customFormat="false" ht="15.75" hidden="false" customHeight="false" outlineLevel="0" collapsed="false">
      <c r="D227" s="10"/>
    </row>
    <row r="228" customFormat="false" ht="15.75" hidden="false" customHeight="false" outlineLevel="0" collapsed="false">
      <c r="D228" s="10"/>
    </row>
    <row r="229" customFormat="false" ht="15.75" hidden="false" customHeight="false" outlineLevel="0" collapsed="false">
      <c r="D229" s="10"/>
    </row>
    <row r="230" customFormat="false" ht="15.75" hidden="false" customHeight="false" outlineLevel="0" collapsed="false">
      <c r="D230" s="10"/>
    </row>
    <row r="231" customFormat="false" ht="15.75" hidden="false" customHeight="false" outlineLevel="0" collapsed="false">
      <c r="D231" s="10"/>
    </row>
    <row r="232" customFormat="false" ht="15.75" hidden="false" customHeight="false" outlineLevel="0" collapsed="false">
      <c r="D232" s="10"/>
    </row>
    <row r="233" customFormat="false" ht="15.75" hidden="false" customHeight="false" outlineLevel="0" collapsed="false">
      <c r="D233" s="10"/>
    </row>
    <row r="234" customFormat="false" ht="15.75" hidden="false" customHeight="false" outlineLevel="0" collapsed="false">
      <c r="D234" s="10"/>
    </row>
    <row r="235" customFormat="false" ht="15.75" hidden="false" customHeight="false" outlineLevel="0" collapsed="false">
      <c r="D235" s="10"/>
    </row>
    <row r="236" customFormat="false" ht="15.75" hidden="false" customHeight="false" outlineLevel="0" collapsed="false">
      <c r="D236" s="10"/>
    </row>
    <row r="237" customFormat="false" ht="15.75" hidden="false" customHeight="false" outlineLevel="0" collapsed="false">
      <c r="D237" s="10"/>
    </row>
    <row r="238" customFormat="false" ht="15.75" hidden="false" customHeight="false" outlineLevel="0" collapsed="false">
      <c r="D238" s="10"/>
    </row>
    <row r="239" customFormat="false" ht="15.75" hidden="false" customHeight="false" outlineLevel="0" collapsed="false">
      <c r="D239" s="10"/>
    </row>
    <row r="240" customFormat="false" ht="15.75" hidden="false" customHeight="false" outlineLevel="0" collapsed="false">
      <c r="D240" s="10"/>
    </row>
    <row r="241" customFormat="false" ht="15.75" hidden="false" customHeight="false" outlineLevel="0" collapsed="false">
      <c r="D241" s="10"/>
    </row>
    <row r="242" customFormat="false" ht="15.75" hidden="false" customHeight="false" outlineLevel="0" collapsed="false">
      <c r="D242" s="10"/>
    </row>
    <row r="243" customFormat="false" ht="15.75" hidden="false" customHeight="false" outlineLevel="0" collapsed="false">
      <c r="D243" s="10"/>
    </row>
    <row r="244" customFormat="false" ht="15.75" hidden="false" customHeight="false" outlineLevel="0" collapsed="false">
      <c r="D244" s="10"/>
    </row>
    <row r="245" customFormat="false" ht="15.75" hidden="false" customHeight="false" outlineLevel="0" collapsed="false">
      <c r="D245" s="10"/>
    </row>
    <row r="246" customFormat="false" ht="15.75" hidden="false" customHeight="false" outlineLevel="0" collapsed="false">
      <c r="D246" s="10"/>
    </row>
    <row r="247" customFormat="false" ht="15.75" hidden="false" customHeight="false" outlineLevel="0" collapsed="false">
      <c r="D247" s="10"/>
    </row>
    <row r="248" customFormat="false" ht="15.75" hidden="false" customHeight="false" outlineLevel="0" collapsed="false">
      <c r="D248" s="10"/>
    </row>
    <row r="249" customFormat="false" ht="15.75" hidden="false" customHeight="false" outlineLevel="0" collapsed="false">
      <c r="D249" s="10"/>
    </row>
    <row r="250" customFormat="false" ht="15.75" hidden="false" customHeight="false" outlineLevel="0" collapsed="false">
      <c r="D250" s="10"/>
    </row>
    <row r="251" customFormat="false" ht="15.75" hidden="false" customHeight="false" outlineLevel="0" collapsed="false">
      <c r="D251" s="10"/>
    </row>
    <row r="252" customFormat="false" ht="15.75" hidden="false" customHeight="false" outlineLevel="0" collapsed="false">
      <c r="D252" s="10"/>
    </row>
    <row r="253" customFormat="false" ht="15.75" hidden="false" customHeight="false" outlineLevel="0" collapsed="false">
      <c r="D253" s="10"/>
    </row>
    <row r="254" customFormat="false" ht="15.75" hidden="false" customHeight="false" outlineLevel="0" collapsed="false">
      <c r="D254" s="10"/>
    </row>
    <row r="255" customFormat="false" ht="15.75" hidden="false" customHeight="false" outlineLevel="0" collapsed="false">
      <c r="D255" s="10"/>
    </row>
  </sheetData>
  <mergeCells count="103">
    <mergeCell ref="F2:F7"/>
    <mergeCell ref="G2:G7"/>
    <mergeCell ref="H2:H7"/>
    <mergeCell ref="F9:F15"/>
    <mergeCell ref="G9:G15"/>
    <mergeCell ref="H9:H15"/>
    <mergeCell ref="F17:F22"/>
    <mergeCell ref="G17:G22"/>
    <mergeCell ref="H17:H22"/>
    <mergeCell ref="F24:F29"/>
    <mergeCell ref="G24:G29"/>
    <mergeCell ref="H24:H29"/>
    <mergeCell ref="F31:F37"/>
    <mergeCell ref="G31:G37"/>
    <mergeCell ref="H31:H37"/>
    <mergeCell ref="F39:F42"/>
    <mergeCell ref="G39:G42"/>
    <mergeCell ref="H39:H42"/>
    <mergeCell ref="F44:F47"/>
    <mergeCell ref="G44:G47"/>
    <mergeCell ref="H44:H47"/>
    <mergeCell ref="F50:F53"/>
    <mergeCell ref="G50:G53"/>
    <mergeCell ref="H50:H53"/>
    <mergeCell ref="F108:F110"/>
    <mergeCell ref="G108:G110"/>
    <mergeCell ref="H108:H110"/>
    <mergeCell ref="F111:F113"/>
    <mergeCell ref="G111:G113"/>
    <mergeCell ref="H111:H113"/>
    <mergeCell ref="F114:F116"/>
    <mergeCell ref="G114:G116"/>
    <mergeCell ref="H114:H116"/>
    <mergeCell ref="F117:F119"/>
    <mergeCell ref="G117:G119"/>
    <mergeCell ref="H117:H119"/>
    <mergeCell ref="F123:F125"/>
    <mergeCell ref="G123:G125"/>
    <mergeCell ref="H123:H125"/>
    <mergeCell ref="F126:F127"/>
    <mergeCell ref="G126:G127"/>
    <mergeCell ref="H126:H127"/>
    <mergeCell ref="F128:F130"/>
    <mergeCell ref="G128:G130"/>
    <mergeCell ref="H128:H130"/>
    <mergeCell ref="F131:F133"/>
    <mergeCell ref="G131:G133"/>
    <mergeCell ref="H131:H133"/>
    <mergeCell ref="F134:F136"/>
    <mergeCell ref="G134:G136"/>
    <mergeCell ref="H134:H136"/>
    <mergeCell ref="F140:F143"/>
    <mergeCell ref="G140:G143"/>
    <mergeCell ref="H140:H143"/>
    <mergeCell ref="F144:F145"/>
    <mergeCell ref="G144:G145"/>
    <mergeCell ref="H144:H145"/>
    <mergeCell ref="F146:F149"/>
    <mergeCell ref="G146:G149"/>
    <mergeCell ref="H146:H149"/>
    <mergeCell ref="F150:F152"/>
    <mergeCell ref="G150:G152"/>
    <mergeCell ref="H150:H152"/>
    <mergeCell ref="F153:F156"/>
    <mergeCell ref="G153:G156"/>
    <mergeCell ref="H153:H156"/>
    <mergeCell ref="F159:F161"/>
    <mergeCell ref="G159:G161"/>
    <mergeCell ref="H159:H161"/>
    <mergeCell ref="F162:F165"/>
    <mergeCell ref="G162:G165"/>
    <mergeCell ref="H162:H165"/>
    <mergeCell ref="F166:F169"/>
    <mergeCell ref="G166:G169"/>
    <mergeCell ref="H166:H169"/>
    <mergeCell ref="F170:F172"/>
    <mergeCell ref="G170:G172"/>
    <mergeCell ref="H170:H172"/>
    <mergeCell ref="F175:F176"/>
    <mergeCell ref="G175:G176"/>
    <mergeCell ref="H175:H176"/>
    <mergeCell ref="F177:F178"/>
    <mergeCell ref="G177:G178"/>
    <mergeCell ref="H177:H178"/>
    <mergeCell ref="F179:F180"/>
    <mergeCell ref="G179:G180"/>
    <mergeCell ref="H179:H180"/>
    <mergeCell ref="F181:F182"/>
    <mergeCell ref="G181:G182"/>
    <mergeCell ref="H181:H182"/>
    <mergeCell ref="F183:F184"/>
    <mergeCell ref="G183:G184"/>
    <mergeCell ref="H183:H184"/>
    <mergeCell ref="F185:F186"/>
    <mergeCell ref="G185:G186"/>
    <mergeCell ref="H185:H186"/>
    <mergeCell ref="F187:F188"/>
    <mergeCell ref="G187:G188"/>
    <mergeCell ref="H187:H188"/>
    <mergeCell ref="F189:F190"/>
    <mergeCell ref="G189:G190"/>
    <mergeCell ref="H189:H190"/>
    <mergeCell ref="G204:G205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2025-11-19T14:48:59Z</dcterms:modified>
  <cp:revision>1</cp:revision>
  <dc:subject/>
  <dc:title/>
</cp:coreProperties>
</file>